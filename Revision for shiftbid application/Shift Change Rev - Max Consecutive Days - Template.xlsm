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il\Downloads\"/>
    </mc:Choice>
  </mc:AlternateContent>
  <xr:revisionPtr revIDLastSave="0" documentId="13_ncr:1_{19E785C3-796B-4624-B9D7-E01210D52E70}" xr6:coauthVersionLast="46" xr6:coauthVersionMax="46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Tech ES" sheetId="2" state="hidden" r:id="rId1"/>
    <sheet name="Attrition" sheetId="3" state="hidden" r:id="rId2"/>
    <sheet name="Instructions" sheetId="12" r:id="rId3"/>
    <sheet name="SPECIAL OFF REVISION" sheetId="7" r:id="rId4"/>
    <sheet name="Roster" sheetId="11" r:id="rId5"/>
    <sheet name="Schedules Previous Change" sheetId="8" r:id="rId6"/>
    <sheet name="Schedules After Change" sheetId="9" r:id="rId7"/>
  </sheets>
  <definedNames>
    <definedName name="_xlnm._FilterDatabase" localSheetId="1" hidden="1">Attrition!$A$1:$C$1</definedName>
    <definedName name="_xlnm._FilterDatabase" localSheetId="3" hidden="1">'SPECIAL OFF REVISION'!$A$4:$T$5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7" l="1"/>
  <c r="H3" i="7" s="1"/>
  <c r="I3" i="7" s="1"/>
  <c r="J3" i="7" s="1"/>
  <c r="K3" i="7" s="1"/>
  <c r="L3" i="7" s="1"/>
  <c r="M3" i="7" s="1"/>
  <c r="N3" i="7" s="1"/>
  <c r="O3" i="7" s="1"/>
  <c r="P3" i="7" s="1"/>
  <c r="Q3" i="7" s="1"/>
  <c r="R3" i="7" s="1"/>
  <c r="S3" i="7" s="1"/>
</calcChain>
</file>

<file path=xl/sharedStrings.xml><?xml version="1.0" encoding="utf-8"?>
<sst xmlns="http://schemas.openxmlformats.org/spreadsheetml/2006/main" count="714" uniqueCount="350">
  <si>
    <t>OFF</t>
  </si>
  <si>
    <t>Solis, Lucia</t>
  </si>
  <si>
    <t>Hernandez, Rene</t>
  </si>
  <si>
    <t>Quintas, Fabian</t>
  </si>
  <si>
    <t>Cabra, Leidy</t>
  </si>
  <si>
    <t>Sosa, Jeny</t>
  </si>
  <si>
    <t>Gonzalez, Lucas</t>
  </si>
  <si>
    <t>Gomez, Emannuel</t>
  </si>
  <si>
    <t>08:00 - 15:30</t>
  </si>
  <si>
    <t xml:space="preserve">Alpuin, Cynthia </t>
  </si>
  <si>
    <t>Mendizabal, Maria</t>
  </si>
  <si>
    <t>Machado, Jenniffer</t>
  </si>
  <si>
    <t xml:space="preserve">Garcia, Agustin </t>
  </si>
  <si>
    <t xml:space="preserve">Soca, Nadia </t>
  </si>
  <si>
    <t>Segovia, Miguel</t>
  </si>
  <si>
    <t>Ramirez, Gustavo</t>
  </si>
  <si>
    <t>Ferreira, Valeria</t>
  </si>
  <si>
    <t xml:space="preserve">Ferrari, Florencia </t>
  </si>
  <si>
    <t>Alvarez-Gonzalez, Madelein</t>
  </si>
  <si>
    <t>Senande, Noelia</t>
  </si>
  <si>
    <t>Massiolo, Carolain</t>
  </si>
  <si>
    <t>Acosta, Daniela</t>
  </si>
  <si>
    <t>07:00 - 13:30</t>
  </si>
  <si>
    <t xml:space="preserve">Gutierrez, Victoria </t>
  </si>
  <si>
    <t xml:space="preserve">Biasotti, Maria </t>
  </si>
  <si>
    <t>Telechea, Maria</t>
  </si>
  <si>
    <t>Fernandez, Nicolas</t>
  </si>
  <si>
    <t>Aristimuño, Lucia</t>
  </si>
  <si>
    <t>Zamudio, Maria Jose</t>
  </si>
  <si>
    <t>Kim Lee, Young Rio</t>
  </si>
  <si>
    <t>Gonzalez, Leimy</t>
  </si>
  <si>
    <t>Hernandez, Joselin</t>
  </si>
  <si>
    <t xml:space="preserve">Taborda, Vivian  </t>
  </si>
  <si>
    <t>Santana, Gissela</t>
  </si>
  <si>
    <t xml:space="preserve">Bustamante, Joselyn </t>
  </si>
  <si>
    <t>Paletta, Viviana</t>
  </si>
  <si>
    <t>Camacho, Angela</t>
  </si>
  <si>
    <t xml:space="preserve">Sierra, Franco </t>
  </si>
  <si>
    <t>Paula Ardaiz</t>
  </si>
  <si>
    <t xml:space="preserve">Mendez, Stephanie </t>
  </si>
  <si>
    <t>Lema, Leandro</t>
  </si>
  <si>
    <t>Iownstein, Natasha</t>
  </si>
  <si>
    <t>Garcia, Lucas</t>
  </si>
  <si>
    <t xml:space="preserve">Buenaventura, Sandra </t>
  </si>
  <si>
    <t>Alaña, Andres</t>
  </si>
  <si>
    <t>Muller, Oscar</t>
  </si>
  <si>
    <t>Martinez, Claudia</t>
  </si>
  <si>
    <t>Costa Martinelli, Tatiana</t>
  </si>
  <si>
    <t>Charbonnier Lopardo, Mikaela</t>
  </si>
  <si>
    <t>Bertola, Andres</t>
  </si>
  <si>
    <t xml:space="preserve">Alvarez, Santiago </t>
  </si>
  <si>
    <t>Darias Santos, Jennifer Susan</t>
  </si>
  <si>
    <t>Correa San Martin, Alejandro</t>
  </si>
  <si>
    <t>Da Silva, Nadia</t>
  </si>
  <si>
    <t>Ponciano, Reynaldo</t>
  </si>
  <si>
    <t>Giachino Souza, Emiliano</t>
  </si>
  <si>
    <t>Ronco, Martina</t>
  </si>
  <si>
    <t>Gonzalez, Alfonso</t>
  </si>
  <si>
    <t>Benitez, Vanessa</t>
  </si>
  <si>
    <t>Ana Guerrero</t>
  </si>
  <si>
    <t>03:00 - 09:30</t>
  </si>
  <si>
    <t>Lopez, Carlos</t>
  </si>
  <si>
    <t>De Maria, Lucia</t>
  </si>
  <si>
    <t xml:space="preserve">Benitez, Alicia </t>
  </si>
  <si>
    <t>Escalona, Roberto</t>
  </si>
  <si>
    <t xml:space="preserve">Batista, Julieta </t>
  </si>
  <si>
    <t>Riffaud De Los Santos, Leticia</t>
  </si>
  <si>
    <t>Mendoza, William</t>
  </si>
  <si>
    <t>Gonzalez, Mariana</t>
  </si>
  <si>
    <t>Giorello, Mariana</t>
  </si>
  <si>
    <t>Donat, Daniel</t>
  </si>
  <si>
    <t>Trinidad Bottasso, Daiana</t>
  </si>
  <si>
    <t xml:space="preserve">Vila, Juan </t>
  </si>
  <si>
    <t xml:space="preserve">Mezquido, Katherine </t>
  </si>
  <si>
    <t>Maristan, Santiago</t>
  </si>
  <si>
    <t xml:space="preserve">Cabral , Adrian </t>
  </si>
  <si>
    <t>Mayada Aragones, Pablo Javier</t>
  </si>
  <si>
    <t>Roxana Castillo</t>
  </si>
  <si>
    <t xml:space="preserve">Harriague Aparicio, Agustin </t>
  </si>
  <si>
    <t>Burriguini, Andrea</t>
  </si>
  <si>
    <t xml:space="preserve">Acosta, Jorge </t>
  </si>
  <si>
    <t>Maria De L Tortora</t>
  </si>
  <si>
    <t>Lorna Avoletta</t>
  </si>
  <si>
    <t>Llanes, Rodrigo</t>
  </si>
  <si>
    <t>Condon, Cecilia</t>
  </si>
  <si>
    <t>Castro, Elena</t>
  </si>
  <si>
    <t xml:space="preserve">Castillo, Alejandra  </t>
  </si>
  <si>
    <t>Camila Latallada</t>
  </si>
  <si>
    <t>Vega, Gerardo</t>
  </si>
  <si>
    <t xml:space="preserve">Ricardi Llanes, Maria </t>
  </si>
  <si>
    <t>Pilar Villat</t>
  </si>
  <si>
    <t xml:space="preserve">Geninazzi, Beatriz </t>
  </si>
  <si>
    <t xml:space="preserve">Farinacci-Pellegrino, Rina </t>
  </si>
  <si>
    <t>Chabat, Nicole</t>
  </si>
  <si>
    <t>Bassin Vitiello, Barbara Mercedes</t>
  </si>
  <si>
    <t>De Salterain  Echande, Maria   Fernanda</t>
  </si>
  <si>
    <t>Severo Orgen, Abril</t>
  </si>
  <si>
    <t>Beretevide, Joaquin</t>
  </si>
  <si>
    <t>Fuentes Fraga, Marcos Joaquin</t>
  </si>
  <si>
    <t>Salgado, Federico</t>
  </si>
  <si>
    <t>Ledesma, Joaquin</t>
  </si>
  <si>
    <t xml:space="preserve">Casavieja, Karol </t>
  </si>
  <si>
    <t>Alejandra Alvarenque</t>
  </si>
  <si>
    <t>Sanchez Bentancor, Flavia</t>
  </si>
  <si>
    <t xml:space="preserve">Torres, Yacqueline </t>
  </si>
  <si>
    <t xml:space="preserve">Sosa, Melanie </t>
  </si>
  <si>
    <t xml:space="preserve">Guzman, Ericsson </t>
  </si>
  <si>
    <t>Cerrillo, Gabriel</t>
  </si>
  <si>
    <t>Albornoz Asuncion, Mauricio</t>
  </si>
  <si>
    <t>Silva, Maria</t>
  </si>
  <si>
    <t>-</t>
  </si>
  <si>
    <t>Da Cruz, Gonzalo</t>
  </si>
  <si>
    <t>Lucas Mendez</t>
  </si>
  <si>
    <t>Estrella Viana, Fredy</t>
  </si>
  <si>
    <t>Diaz, Veronica</t>
  </si>
  <si>
    <t>David, Mariana</t>
  </si>
  <si>
    <t>Araujo, Micaela</t>
  </si>
  <si>
    <t>Spalla Gonzalez, Antonella</t>
  </si>
  <si>
    <t>Baez Barbachan, Joaquin</t>
  </si>
  <si>
    <t>Martinez, Virginia</t>
  </si>
  <si>
    <t>Silva, Elisa</t>
  </si>
  <si>
    <t>Gonzalez, Ivan</t>
  </si>
  <si>
    <t>Machado Cedres, Romina</t>
  </si>
  <si>
    <t>Godoy, Maria Gimena</t>
  </si>
  <si>
    <t xml:space="preserve">Castro, Camila </t>
  </si>
  <si>
    <t>Castro Borges, Marcelo</t>
  </si>
  <si>
    <t>Cabrera, Maria</t>
  </si>
  <si>
    <t xml:space="preserve">Berger, Elena </t>
  </si>
  <si>
    <t>Villagran, Fernanda</t>
  </si>
  <si>
    <t>Maria Ramas</t>
  </si>
  <si>
    <t>Rey, Beatriz</t>
  </si>
  <si>
    <t>Clavijo, Osvaldo</t>
  </si>
  <si>
    <t>Rodriguez, Megui</t>
  </si>
  <si>
    <t>Burgueño, Valentina</t>
  </si>
  <si>
    <t>Garcia, Melina</t>
  </si>
  <si>
    <t xml:space="preserve">Silveira Garcia, Analia </t>
  </si>
  <si>
    <t>Sena, Virginia</t>
  </si>
  <si>
    <t>Rodiles, Raul</t>
  </si>
  <si>
    <t>Odera, Natalia</t>
  </si>
  <si>
    <t xml:space="preserve">Barbosa Gomez, Octavio </t>
  </si>
  <si>
    <t>Urbina, Norkris</t>
  </si>
  <si>
    <t>Ferreira, Bruno</t>
  </si>
  <si>
    <t>Durán Ferreira, Leandro</t>
  </si>
  <si>
    <t>Perez Parada, Ezequiel</t>
  </si>
  <si>
    <t>Pardiñas, Anahi</t>
  </si>
  <si>
    <t xml:space="preserve">Martinez, Mariana </t>
  </si>
  <si>
    <t>Martinez, Leonardo</t>
  </si>
  <si>
    <t xml:space="preserve">Marquez, Jorge </t>
  </si>
  <si>
    <t>Fabre, Alberto</t>
  </si>
  <si>
    <t xml:space="preserve">Acosta, Romina </t>
  </si>
  <si>
    <t>Morales, Alexander</t>
  </si>
  <si>
    <t>Sorrenti, Diego</t>
  </si>
  <si>
    <t xml:space="preserve">Hagobian, Sherilyn </t>
  </si>
  <si>
    <t xml:space="preserve">Lorenzo Paiva, Lorena </t>
  </si>
  <si>
    <t>Otatti, Santiago</t>
  </si>
  <si>
    <t xml:space="preserve">Carreño, Agustina </t>
  </si>
  <si>
    <t>Calvo, Agustin</t>
  </si>
  <si>
    <t>Amen, Gonzalo</t>
  </si>
  <si>
    <t xml:space="preserve">Alarcon, Rodrigo </t>
  </si>
  <si>
    <t>Balcaldi, Luciana</t>
  </si>
  <si>
    <t>Alvarez, Emiliano</t>
  </si>
  <si>
    <t xml:space="preserve">Caramelli Silva, Valentina </t>
  </si>
  <si>
    <t>Soba, Marisol</t>
  </si>
  <si>
    <t xml:space="preserve">Gil Renart, Rebeca </t>
  </si>
  <si>
    <t xml:space="preserve">Latallada, Luis </t>
  </si>
  <si>
    <t>Barzelli, Ariadna</t>
  </si>
  <si>
    <t>Machado, Santiago</t>
  </si>
  <si>
    <t>Fagundez, Gimena</t>
  </si>
  <si>
    <t>Dominguez, Maria</t>
  </si>
  <si>
    <t xml:space="preserve">Beracochea Grampone, Pierina </t>
  </si>
  <si>
    <t xml:space="preserve">Araujo Escobar, Blanca </t>
  </si>
  <si>
    <t>Acosta Leites, Camila</t>
  </si>
  <si>
    <t>Sat</t>
  </si>
  <si>
    <t>Fri</t>
  </si>
  <si>
    <t>Thu</t>
  </si>
  <si>
    <t>Wed</t>
  </si>
  <si>
    <t>Tue</t>
  </si>
  <si>
    <t>Mon</t>
  </si>
  <si>
    <t>Sun</t>
  </si>
  <si>
    <t>AGENT NAME</t>
  </si>
  <si>
    <t>SAP ID / Oracle</t>
  </si>
  <si>
    <t>GACD LOG IN</t>
  </si>
  <si>
    <t>TEAM MANAGER</t>
  </si>
  <si>
    <t>04:00 - 10:30</t>
  </si>
  <si>
    <t>Texeira, Julisa</t>
  </si>
  <si>
    <t xml:space="preserve">Brundula, Ines </t>
  </si>
  <si>
    <t>Hernandez, Giovanni</t>
  </si>
  <si>
    <t>Do Nacimento, Maira</t>
  </si>
  <si>
    <t>Carvajal, Gabriel</t>
  </si>
  <si>
    <t>Rojas, Jesus</t>
  </si>
  <si>
    <t>Barazarte, Katty</t>
  </si>
  <si>
    <t>Olivera, Valentina</t>
  </si>
  <si>
    <t>Epifanio, Carlos</t>
  </si>
  <si>
    <t>Olascoaga, Maite</t>
  </si>
  <si>
    <t>Silva, Mariana</t>
  </si>
  <si>
    <t>08:30 - 16:00</t>
  </si>
  <si>
    <t>vcrossa29mvd</t>
  </si>
  <si>
    <t>dfarias52mvd</t>
  </si>
  <si>
    <t>algonzalez29mvd</t>
  </si>
  <si>
    <t>jguasque32mvd</t>
  </si>
  <si>
    <t>acardozo20mvd</t>
  </si>
  <si>
    <t>scorrales21mvd</t>
  </si>
  <si>
    <t>pdiaz32mvd</t>
  </si>
  <si>
    <t>ssilveira32mvd</t>
  </si>
  <si>
    <t>Diego Lagreca</t>
  </si>
  <si>
    <t>Adam Taylor</t>
  </si>
  <si>
    <t>Mauricio Rodriguez</t>
  </si>
  <si>
    <t>SAP</t>
  </si>
  <si>
    <t>Nombre</t>
  </si>
  <si>
    <t>Date</t>
  </si>
  <si>
    <t>Crossa, Maria</t>
  </si>
  <si>
    <t>Farias, Daniel</t>
  </si>
  <si>
    <t>Gonzalez, Angel</t>
  </si>
  <si>
    <t>Guasque, Juan</t>
  </si>
  <si>
    <t>Cardozo, Alejandro</t>
  </si>
  <si>
    <t>Corrales, Sebastian</t>
  </si>
  <si>
    <t>De La Sierra, Rafael</t>
  </si>
  <si>
    <t>Etchepare, Bernardo</t>
  </si>
  <si>
    <t>Pantazoglu, Alexandra</t>
  </si>
  <si>
    <t>Diaz, Pablo</t>
  </si>
  <si>
    <t>Silveira, Sofia</t>
  </si>
  <si>
    <t>Figueredo, Carlos</t>
  </si>
  <si>
    <t>Llanes, Maria Jose</t>
  </si>
  <si>
    <t>Miraballes Balado, Gustavo</t>
  </si>
  <si>
    <t>Jesus Formoso, Paula</t>
  </si>
  <si>
    <t>Hernandez Blanco, Nicolas</t>
  </si>
  <si>
    <t>Villarroya Gonzalez, Jonathan</t>
  </si>
  <si>
    <t>Martinez, Ximena</t>
  </si>
  <si>
    <t>Nasiff, Zamir</t>
  </si>
  <si>
    <t>Stefano, Maximiliano</t>
  </si>
  <si>
    <t>Garcia Casal, Lourdes</t>
  </si>
  <si>
    <t>Aspirot, Karina</t>
  </si>
  <si>
    <t>Belzarena, Silvina</t>
  </si>
  <si>
    <t xml:space="preserve">Zabala, Maria </t>
  </si>
  <si>
    <t>Oreiro Rodriguez, Nicolas</t>
  </si>
  <si>
    <t>Flores Echeandia, Jullyssa</t>
  </si>
  <si>
    <t>Echevarria Pintos, Ana</t>
  </si>
  <si>
    <t>Pacheco Lorenzo, Nicolas</t>
  </si>
  <si>
    <t>Albertini Rios, Maria</t>
  </si>
  <si>
    <t>Blanco Paz, Gabriela</t>
  </si>
  <si>
    <t>Solis Gomez, Dario</t>
  </si>
  <si>
    <t>Cortes Da Luz, Luis</t>
  </si>
  <si>
    <t>Pazos, Fernando</t>
  </si>
  <si>
    <t xml:space="preserve">Izquierdo, Felipe </t>
  </si>
  <si>
    <t xml:space="preserve">Alvarez, Joaquin </t>
  </si>
  <si>
    <t xml:space="preserve">Sanzo, Gaston </t>
  </si>
  <si>
    <t xml:space="preserve">Sosa, Ignacio </t>
  </si>
  <si>
    <t xml:space="preserve">Martinez, Federico </t>
  </si>
  <si>
    <t>Mendoza, Emiliano</t>
  </si>
  <si>
    <t xml:space="preserve">Diaz Arnesto, Agustin </t>
  </si>
  <si>
    <t>Rodriguez, Camila</t>
  </si>
  <si>
    <t xml:space="preserve">Flores Lacoste, Maria Noel </t>
  </si>
  <si>
    <t>Rodriguez, Pamela</t>
  </si>
  <si>
    <t>De La Rosa, Jorge</t>
  </si>
  <si>
    <t>Francisco, Lourdes</t>
  </si>
  <si>
    <t>Alvarez Carrosio, Micaela Andrea</t>
  </si>
  <si>
    <t>02:00 - 08:30</t>
  </si>
  <si>
    <t>02:00 - 09:30</t>
  </si>
  <si>
    <t>Ferreira, Camilo</t>
  </si>
  <si>
    <t>Sosa, Marcelo</t>
  </si>
  <si>
    <t>Wave</t>
  </si>
  <si>
    <t xml:space="preserve">Rivero Hernandez, Mayte </t>
  </si>
  <si>
    <t>Alvarez Gauz, Ruben Mathias</t>
  </si>
  <si>
    <t>Ricaurte Rangel, Maria Ines</t>
  </si>
  <si>
    <t xml:space="preserve">Pla Trujillo, Ignacio </t>
  </si>
  <si>
    <t>Martinez Ruiz, Gianina Micaela</t>
  </si>
  <si>
    <t>Pereira Maidana, Andrea Yessica</t>
  </si>
  <si>
    <t xml:space="preserve">Correa Fantoni, Michelle </t>
  </si>
  <si>
    <t>Olivera Fares, Ivan Andres</t>
  </si>
  <si>
    <t>Yannone Nuñez, Maria Florencia</t>
  </si>
  <si>
    <t>Aguirre Campi, Nicolas Agustin</t>
  </si>
  <si>
    <t>Stabile Salvarrey, Katherine    Macarena</t>
  </si>
  <si>
    <t xml:space="preserve">Macedo Escalante , Sofia </t>
  </si>
  <si>
    <t>Pereira Pintos, Catherine Elena</t>
  </si>
  <si>
    <t>Astraldi Gonzalez, Emiliano Andres</t>
  </si>
  <si>
    <t>De Borba Morales, Edgar Damian</t>
  </si>
  <si>
    <t>Falco Estela, Selena Natalia</t>
  </si>
  <si>
    <t>rdlsierra24mvd</t>
  </si>
  <si>
    <t>betcheparemvd</t>
  </si>
  <si>
    <t>apantazoglumvd</t>
  </si>
  <si>
    <t>Castro, Lucia</t>
  </si>
  <si>
    <t>Guggeri, Fernanda</t>
  </si>
  <si>
    <t>Schauricht, Nacho</t>
  </si>
  <si>
    <t>Macedo, Maria Luz</t>
  </si>
  <si>
    <t>Marioni, Nicolas</t>
  </si>
  <si>
    <t>Latierro, Maximiliano</t>
  </si>
  <si>
    <t>Silveira, Carolina</t>
  </si>
  <si>
    <t>Posse, Martin</t>
  </si>
  <si>
    <t>Garcia, Alejandro</t>
  </si>
  <si>
    <t>Bottinelli, Marianella</t>
  </si>
  <si>
    <t>DaFonseca, Romina</t>
  </si>
  <si>
    <t>Irurueta, Catalina</t>
  </si>
  <si>
    <t>Escobar, Alberto</t>
  </si>
  <si>
    <t>Sanchez, Florencia</t>
  </si>
  <si>
    <t>Fernandez, Vanessa</t>
  </si>
  <si>
    <t>Mateo, Carolina</t>
  </si>
  <si>
    <t>Colina, Claudio</t>
  </si>
  <si>
    <t>Leites, Romina</t>
  </si>
  <si>
    <t>Amaro, Pablo</t>
  </si>
  <si>
    <t>Ross, Maria</t>
  </si>
  <si>
    <t>Martinez, Valentina</t>
  </si>
  <si>
    <t>Rodriguez, Rudinei</t>
  </si>
  <si>
    <t>Denis, Nicolas</t>
  </si>
  <si>
    <t>Sambucetti, Bruno</t>
  </si>
  <si>
    <t>Pessi, Jennifer</t>
  </si>
  <si>
    <t>Rivero, John</t>
  </si>
  <si>
    <t>Buydid, Sabrina</t>
  </si>
  <si>
    <t>Cedres, Mathias</t>
  </si>
  <si>
    <t>Colmenares, Kevin</t>
  </si>
  <si>
    <t>Escalada, Paulo</t>
  </si>
  <si>
    <t>Velazquez, Kenny</t>
  </si>
  <si>
    <t>Provenzano, Valeria</t>
  </si>
  <si>
    <t>DATE
SPECIAL OFF</t>
  </si>
  <si>
    <t>Employee ID</t>
  </si>
  <si>
    <t>Other Employee ID</t>
  </si>
  <si>
    <t>Employee Name</t>
  </si>
  <si>
    <t>BEFORE SHIFT CHANGE</t>
  </si>
  <si>
    <t>AFTER SHIFT CHANGE</t>
  </si>
  <si>
    <t>SunPrev</t>
  </si>
  <si>
    <t>MonPrev</t>
  </si>
  <si>
    <t>TuePrev</t>
  </si>
  <si>
    <t>WedPrev</t>
  </si>
  <si>
    <t>ThuPrev</t>
  </si>
  <si>
    <t>FriPrev</t>
  </si>
  <si>
    <t>SatPrev</t>
  </si>
  <si>
    <t>SunAft</t>
  </si>
  <si>
    <t>MonAft</t>
  </si>
  <si>
    <t>TueAft</t>
  </si>
  <si>
    <t>WedAft</t>
  </si>
  <si>
    <t>ThuAft</t>
  </si>
  <si>
    <t>FriAft</t>
  </si>
  <si>
    <t>SatAft</t>
  </si>
  <si>
    <t>Manager</t>
  </si>
  <si>
    <t>MAX CONSECUTIVE DAYS</t>
  </si>
  <si>
    <t>ALLOW UP TO MAX CONSECUTIVE EVEN</t>
  </si>
  <si>
    <t>WEEKDAY SPECIAL OFF</t>
  </si>
  <si>
    <t>1 - WORKDAY</t>
  </si>
  <si>
    <t>0 - NON WORKDAY</t>
  </si>
  <si>
    <t>Present in both SCHED TABS?</t>
  </si>
  <si>
    <t>3-Go to "SPECIAL OFF REVISION" tab and click button</t>
  </si>
  <si>
    <t>1-Input necessary information to "Schedules Previous Change" tab</t>
  </si>
  <si>
    <t>2-Input necessary information to "Schedules After Change" tab</t>
  </si>
  <si>
    <t>4-Update date in F3 cell</t>
  </si>
  <si>
    <t>5-Update number in T3 cell</t>
  </si>
  <si>
    <t>6-Verify all employees listed are in both schedules tab by column E</t>
  </si>
  <si>
    <t>7-Schedule a date for a special off by to employees who need it by filtering column  U ("DETERMINE")</t>
  </si>
  <si>
    <t>Notes</t>
  </si>
  <si>
    <t>*Schedules listed within OLD and NEW schedules can include exceptions as Vacation, Time OFF, etc. That will give a greather accuraccy actually, therefore is advised to apply schedules along exceptions.</t>
  </si>
  <si>
    <t>In order to create Ids for demo, web used was http://www.brenz.net/services/randomID.asp</t>
  </si>
  <si>
    <t>In order to create names for demo, web used was https://www.behindthename.com/random/random.php?number=1&amp;sets=5&amp;gender=both&amp;surname=&amp;randomsurname=yes&amp;all=yes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</si>
</sst>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_ * #,##0.00_ ;_ * \-#,##0.00_ ;_ * &quot;-&quot;??_ ;_ @_ "/>
    <numFmt numFmtId="165" formatCode="_([$€-2]* #,##0.00_);_([$€-2]* \(#,##0.00\);_([$€-2]* &quot;-&quot;??_)"/>
    <numFmt numFmtId="166" formatCode="\$#,##0\ ;\(\$#,##0\)"/>
  </numFmts>
  <fonts count="38" x14ac:knownFonts="1">
    <font>
      <sz val="11"/>
      <color theme="1"/>
      <name val="Calibri"/>
      <family val="2"/>
      <scheme val="minor"/>
    </font>
    <font>
      <sz val="12"/>
      <name val="Times New Roman"/>
      <family val="1"/>
    </font>
    <font>
      <sz val="8"/>
      <name val="Arial"/>
      <family val="2"/>
    </font>
    <font>
      <sz val="9"/>
      <name val="Century Gothic"/>
      <family val="2"/>
    </font>
    <font>
      <b/>
      <sz val="8"/>
      <color indexed="9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u/>
      <sz val="10"/>
      <color theme="1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20"/>
      <name val="Arial"/>
      <family val="2"/>
    </font>
    <font>
      <sz val="10"/>
      <color indexed="17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sz val="10"/>
      <color indexed="52"/>
      <name val="Arial"/>
      <family val="2"/>
    </font>
    <font>
      <b/>
      <sz val="11"/>
      <color indexed="56"/>
      <name val="Arial"/>
      <family val="2"/>
    </font>
    <font>
      <sz val="10"/>
      <color indexed="62"/>
      <name val="Arial"/>
      <family val="2"/>
    </font>
    <font>
      <i/>
      <sz val="10"/>
      <color indexed="23"/>
      <name val="Arial"/>
      <family val="2"/>
    </font>
    <font>
      <sz val="10"/>
      <color indexed="24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0"/>
      <color indexed="63"/>
      <name val="Arial"/>
      <family val="2"/>
    </font>
    <font>
      <sz val="10"/>
      <color indexed="10"/>
      <name val="Arial"/>
      <family val="2"/>
    </font>
    <font>
      <b/>
      <sz val="18"/>
      <color indexed="56"/>
      <name val="Cambria"/>
      <family val="2"/>
    </font>
    <font>
      <b/>
      <sz val="13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indexed="6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87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5" fillId="0" borderId="0"/>
    <xf numFmtId="0" fontId="8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9" fontId="8" fillId="0" borderId="0" applyFont="0" applyFill="0" applyBorder="0" applyAlignment="0" applyProtection="0"/>
    <xf numFmtId="0" fontId="6" fillId="0" borderId="0"/>
    <xf numFmtId="0" fontId="5" fillId="0" borderId="0"/>
    <xf numFmtId="0" fontId="9" fillId="0" borderId="0" applyNumberFormat="0" applyFill="0" applyBorder="0" applyAlignment="0" applyProtection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44" fontId="6" fillId="0" borderId="0" applyFont="0" applyFill="0" applyBorder="0" applyAlignment="0" applyProtection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 applyNumberFormat="0" applyFill="0" applyBorder="0" applyAlignment="0" applyProtection="0"/>
    <xf numFmtId="0" fontId="5" fillId="0" borderId="0"/>
    <xf numFmtId="0" fontId="6" fillId="0" borderId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5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6" borderId="0" applyNumberFormat="0" applyBorder="0" applyAlignment="0" applyProtection="0"/>
    <xf numFmtId="0" fontId="17" fillId="19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6" borderId="0" applyNumberFormat="0" applyBorder="0" applyAlignment="0" applyProtection="0"/>
    <xf numFmtId="0" fontId="17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20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9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6" borderId="0" applyNumberFormat="0" applyBorder="0" applyAlignment="0" applyProtection="0"/>
    <xf numFmtId="0" fontId="19" fillId="11" borderId="0" applyNumberFormat="0" applyBorder="0" applyAlignment="0" applyProtection="0"/>
    <xf numFmtId="0" fontId="11" fillId="5" borderId="0" applyNumberFormat="0" applyBorder="0" applyAlignment="0" applyProtection="0"/>
    <xf numFmtId="0" fontId="20" fillId="12" borderId="0" applyNumberFormat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27" borderId="6" applyNumberFormat="0" applyAlignment="0" applyProtection="0"/>
    <xf numFmtId="0" fontId="23" fillId="27" borderId="6" applyNumberFormat="0" applyAlignment="0" applyProtection="0"/>
    <xf numFmtId="0" fontId="14" fillId="7" borderId="4" applyNumberFormat="0" applyAlignment="0" applyProtection="0"/>
    <xf numFmtId="0" fontId="24" fillId="28" borderId="7" applyNumberFormat="0" applyAlignment="0" applyProtection="0"/>
    <xf numFmtId="0" fontId="13" fillId="0" borderId="3" applyNumberFormat="0" applyFill="0" applyAlignment="0" applyProtection="0"/>
    <xf numFmtId="0" fontId="25" fillId="0" borderId="8" applyNumberFormat="0" applyFill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8" fillId="9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6" borderId="0" applyNumberFormat="0" applyBorder="0" applyAlignment="0" applyProtection="0"/>
    <xf numFmtId="0" fontId="12" fillId="6" borderId="2" applyNumberFormat="0" applyAlignment="0" applyProtection="0"/>
    <xf numFmtId="0" fontId="27" fillId="15" borderId="6" applyNumberFormat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0" fontId="30" fillId="0" borderId="9" applyNumberFormat="0" applyFill="0" applyAlignment="0" applyProtection="0"/>
    <xf numFmtId="0" fontId="31" fillId="0" borderId="10" applyNumberFormat="0" applyFill="0" applyAlignment="0" applyProtection="0"/>
    <xf numFmtId="0" fontId="26" fillId="0" borderId="11" applyNumberFormat="0" applyFill="0" applyAlignment="0" applyProtection="0"/>
    <xf numFmtId="0" fontId="19" fillId="11" borderId="0" applyNumberFormat="0" applyBorder="0" applyAlignment="0" applyProtection="0"/>
    <xf numFmtId="166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8" borderId="5" applyNumberFormat="0" applyFont="0" applyAlignment="0" applyProtection="0"/>
    <xf numFmtId="0" fontId="17" fillId="29" borderId="12" applyNumberFormat="0" applyFont="0" applyAlignment="0" applyProtection="0"/>
    <xf numFmtId="0" fontId="6" fillId="8" borderId="5" applyNumberFormat="0" applyFont="0" applyAlignment="0" applyProtection="0"/>
    <xf numFmtId="0" fontId="32" fillId="27" borderId="13" applyNumberFormat="0" applyAlignment="0" applyProtection="0"/>
    <xf numFmtId="3" fontId="29" fillId="0" borderId="0" applyFont="0" applyFill="0" applyBorder="0" applyAlignment="0" applyProtection="0"/>
    <xf numFmtId="3" fontId="29" fillId="0" borderId="0" applyFont="0" applyFill="0" applyBorder="0" applyAlignment="0" applyProtection="0"/>
    <xf numFmtId="3" fontId="29" fillId="0" borderId="0" applyFont="0" applyFill="0" applyBorder="0" applyAlignment="0" applyProtection="0"/>
    <xf numFmtId="0" fontId="32" fillId="27" borderId="13" applyNumberFormat="0" applyAlignment="0" applyProtection="0"/>
    <xf numFmtId="0" fontId="5" fillId="0" borderId="0"/>
    <xf numFmtId="0" fontId="15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0" fillId="0" borderId="9" applyNumberFormat="0" applyFill="0" applyAlignment="0" applyProtection="0"/>
    <xf numFmtId="0" fontId="31" fillId="0" borderId="10" applyNumberFormat="0" applyFill="0" applyAlignment="0" applyProtection="0"/>
    <xf numFmtId="0" fontId="26" fillId="0" borderId="11" applyNumberFormat="0" applyFill="0" applyAlignment="0" applyProtection="0"/>
    <xf numFmtId="0" fontId="36" fillId="31" borderId="0" applyNumberFormat="0" applyBorder="0" applyAlignment="0" applyProtection="0"/>
  </cellStyleXfs>
  <cellXfs count="29">
    <xf numFmtId="0" fontId="0" fillId="0" borderId="0" xfId="0"/>
    <xf numFmtId="0" fontId="2" fillId="2" borderId="1" xfId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" fontId="4" fillId="4" borderId="1" xfId="2" applyNumberFormat="1" applyFont="1" applyFill="1" applyBorder="1" applyAlignment="1">
      <alignment horizontal="center" wrapText="1"/>
    </xf>
    <xf numFmtId="16" fontId="4" fillId="4" borderId="1" xfId="2" applyNumberFormat="1" applyFont="1" applyFill="1" applyBorder="1" applyAlignment="1">
      <alignment horizontal="center"/>
    </xf>
    <xf numFmtId="14" fontId="0" fillId="0" borderId="0" xfId="0" applyNumberFormat="1"/>
    <xf numFmtId="0" fontId="18" fillId="21" borderId="15" xfId="99" applyBorder="1"/>
    <xf numFmtId="0" fontId="18" fillId="21" borderId="16" xfId="99" applyBorder="1"/>
    <xf numFmtId="14" fontId="36" fillId="31" borderId="0" xfId="186" applyNumberFormat="1"/>
    <xf numFmtId="0" fontId="36" fillId="31" borderId="0" xfId="186" applyAlignment="1">
      <alignment horizontal="center" vertical="center" wrapText="1"/>
    </xf>
    <xf numFmtId="0" fontId="36" fillId="31" borderId="0" xfId="186" applyAlignment="1">
      <alignment horizontal="center" vertical="center"/>
    </xf>
    <xf numFmtId="16" fontId="4" fillId="4" borderId="17" xfId="2" applyNumberFormat="1" applyFont="1" applyFill="1" applyBorder="1" applyAlignment="1">
      <alignment horizontal="center" wrapText="1"/>
    </xf>
    <xf numFmtId="16" fontId="4" fillId="4" borderId="18" xfId="2" applyNumberFormat="1" applyFont="1" applyFill="1" applyBorder="1" applyAlignment="1">
      <alignment horizontal="center" wrapText="1"/>
    </xf>
    <xf numFmtId="16" fontId="4" fillId="4" borderId="18" xfId="2" applyNumberFormat="1" applyFont="1" applyFill="1" applyBorder="1" applyAlignment="1">
      <alignment horizontal="center"/>
    </xf>
    <xf numFmtId="16" fontId="4" fillId="4" borderId="19" xfId="2" applyNumberFormat="1" applyFont="1" applyFill="1" applyBorder="1" applyAlignment="1">
      <alignment horizontal="center" wrapText="1"/>
    </xf>
    <xf numFmtId="0" fontId="2" fillId="3" borderId="20" xfId="0" applyFont="1" applyFill="1" applyBorder="1" applyAlignment="1">
      <alignment horizontal="center"/>
    </xf>
    <xf numFmtId="14" fontId="0" fillId="0" borderId="1" xfId="0" applyNumberFormat="1" applyBorder="1"/>
    <xf numFmtId="0" fontId="2" fillId="0" borderId="1" xfId="0" applyNumberFormat="1" applyFont="1" applyFill="1" applyBorder="1" applyAlignment="1">
      <alignment horizontal="center"/>
    </xf>
    <xf numFmtId="0" fontId="0" fillId="0" borderId="1" xfId="0" applyNumberFormat="1" applyBorder="1"/>
    <xf numFmtId="0" fontId="2" fillId="2" borderId="21" xfId="1" applyNumberFormat="1" applyFont="1" applyFill="1" applyBorder="1" applyAlignment="1">
      <alignment horizontal="center"/>
    </xf>
    <xf numFmtId="0" fontId="0" fillId="0" borderId="22" xfId="0" applyBorder="1"/>
    <xf numFmtId="0" fontId="31" fillId="0" borderId="10" xfId="116"/>
    <xf numFmtId="0" fontId="37" fillId="0" borderId="23" xfId="0" applyFont="1" applyBorder="1"/>
    <xf numFmtId="0" fontId="37" fillId="0" borderId="22" xfId="0" applyFont="1" applyBorder="1"/>
    <xf numFmtId="0" fontId="35" fillId="30" borderId="14" xfId="0" applyFont="1" applyFill="1" applyBorder="1" applyAlignment="1">
      <alignment horizontal="center"/>
    </xf>
    <xf numFmtId="0" fontId="35" fillId="32" borderId="14" xfId="0" applyFont="1" applyFill="1" applyBorder="1" applyAlignment="1">
      <alignment horizontal="center"/>
    </xf>
  </cellXfs>
  <cellStyles count="187">
    <cellStyle name="          _x000d__x000a_386grabber=VGA.3GR_x000d__x000a_" xfId="30" xr:uid="{00000000-0005-0000-0000-000000000000}"/>
    <cellStyle name="          _x000d__x000a_386grabber=VGA.3GR_x000d__x000a_ 2" xfId="31" xr:uid="{00000000-0005-0000-0000-000001000000}"/>
    <cellStyle name="          _x000d__x000a_386grabber=VGA.3GR_x000d__x000a_ 2 2" xfId="32" xr:uid="{00000000-0005-0000-0000-000002000000}"/>
    <cellStyle name="%" xfId="1" xr:uid="{00000000-0005-0000-0000-000000000000}"/>
    <cellStyle name="% 2" xfId="24" xr:uid="{00000000-0005-0000-0000-000001000000}"/>
    <cellStyle name="% 3" xfId="10" xr:uid="{00000000-0005-0000-0000-000002000000}"/>
    <cellStyle name="% 4" xfId="33" xr:uid="{00000000-0005-0000-0000-000006000000}"/>
    <cellStyle name="20% - Accent1 2" xfId="34" xr:uid="{00000000-0005-0000-0000-000007000000}"/>
    <cellStyle name="20% - Accent2 2" xfId="35" xr:uid="{00000000-0005-0000-0000-000008000000}"/>
    <cellStyle name="20% - Accent3 2" xfId="36" xr:uid="{00000000-0005-0000-0000-000009000000}"/>
    <cellStyle name="20% - Accent4 2" xfId="37" xr:uid="{00000000-0005-0000-0000-00000A000000}"/>
    <cellStyle name="20% - Accent5 2" xfId="38" xr:uid="{00000000-0005-0000-0000-00000B000000}"/>
    <cellStyle name="20% - Accent6 2" xfId="39" xr:uid="{00000000-0005-0000-0000-00000C000000}"/>
    <cellStyle name="20% - Énfasis1" xfId="40" xr:uid="{00000000-0005-0000-0000-00000D000000}"/>
    <cellStyle name="20% - Énfasis2" xfId="41" xr:uid="{00000000-0005-0000-0000-00000E000000}"/>
    <cellStyle name="20% - Énfasis3" xfId="42" xr:uid="{00000000-0005-0000-0000-00000F000000}"/>
    <cellStyle name="20% - Énfasis4" xfId="43" xr:uid="{00000000-0005-0000-0000-000010000000}"/>
    <cellStyle name="20% - Énfasis5" xfId="44" xr:uid="{00000000-0005-0000-0000-000011000000}"/>
    <cellStyle name="20% - Énfasis6" xfId="45" xr:uid="{00000000-0005-0000-0000-000012000000}"/>
    <cellStyle name="40% - Accent1 2" xfId="46" xr:uid="{00000000-0005-0000-0000-000013000000}"/>
    <cellStyle name="40% - Accent2 2" xfId="47" xr:uid="{00000000-0005-0000-0000-000014000000}"/>
    <cellStyle name="40% - Accent3 2" xfId="48" xr:uid="{00000000-0005-0000-0000-000015000000}"/>
    <cellStyle name="40% - Accent4 2" xfId="49" xr:uid="{00000000-0005-0000-0000-000016000000}"/>
    <cellStyle name="40% - Accent5 2" xfId="50" xr:uid="{00000000-0005-0000-0000-000017000000}"/>
    <cellStyle name="40% - Accent6 2" xfId="51" xr:uid="{00000000-0005-0000-0000-000018000000}"/>
    <cellStyle name="40% - Énfasis1" xfId="52" xr:uid="{00000000-0005-0000-0000-000019000000}"/>
    <cellStyle name="40% - Énfasis2" xfId="53" xr:uid="{00000000-0005-0000-0000-00001A000000}"/>
    <cellStyle name="40% - Énfasis3" xfId="54" xr:uid="{00000000-0005-0000-0000-00001B000000}"/>
    <cellStyle name="40% - Énfasis4" xfId="55" xr:uid="{00000000-0005-0000-0000-00001C000000}"/>
    <cellStyle name="40% - Énfasis5" xfId="56" xr:uid="{00000000-0005-0000-0000-00001D000000}"/>
    <cellStyle name="40% - Énfasis6" xfId="57" xr:uid="{00000000-0005-0000-0000-00001E000000}"/>
    <cellStyle name="60% - Accent1 2" xfId="58" xr:uid="{00000000-0005-0000-0000-00001F000000}"/>
    <cellStyle name="60% - Accent2 2" xfId="59" xr:uid="{00000000-0005-0000-0000-000020000000}"/>
    <cellStyle name="60% - Accent3 2" xfId="60" xr:uid="{00000000-0005-0000-0000-000021000000}"/>
    <cellStyle name="60% - Accent4 2" xfId="61" xr:uid="{00000000-0005-0000-0000-000022000000}"/>
    <cellStyle name="60% - Accent5 2" xfId="62" xr:uid="{00000000-0005-0000-0000-000023000000}"/>
    <cellStyle name="60% - Accent6 2" xfId="63" xr:uid="{00000000-0005-0000-0000-000024000000}"/>
    <cellStyle name="60% - Énfasis1" xfId="64" xr:uid="{00000000-0005-0000-0000-000025000000}"/>
    <cellStyle name="60% - Énfasis2" xfId="65" xr:uid="{00000000-0005-0000-0000-000026000000}"/>
    <cellStyle name="60% - Énfasis3" xfId="66" xr:uid="{00000000-0005-0000-0000-000027000000}"/>
    <cellStyle name="60% - Énfasis4" xfId="67" xr:uid="{00000000-0005-0000-0000-000028000000}"/>
    <cellStyle name="60% - Énfasis5" xfId="68" xr:uid="{00000000-0005-0000-0000-000029000000}"/>
    <cellStyle name="60% - Énfasis6" xfId="69" xr:uid="{00000000-0005-0000-0000-00002A000000}"/>
    <cellStyle name="Accent1 2" xfId="70" xr:uid="{00000000-0005-0000-0000-00002B000000}"/>
    <cellStyle name="Accent2 2" xfId="71" xr:uid="{00000000-0005-0000-0000-00002C000000}"/>
    <cellStyle name="Accent3 2" xfId="72" xr:uid="{00000000-0005-0000-0000-00002D000000}"/>
    <cellStyle name="Accent4 2" xfId="73" xr:uid="{00000000-0005-0000-0000-00002E000000}"/>
    <cellStyle name="Accent5 2" xfId="74" xr:uid="{00000000-0005-0000-0000-00002F000000}"/>
    <cellStyle name="Accent6 2" xfId="75" xr:uid="{00000000-0005-0000-0000-000030000000}"/>
    <cellStyle name="Bad 2" xfId="76" xr:uid="{00000000-0005-0000-0000-000031000000}"/>
    <cellStyle name="Buena" xfId="77" xr:uid="{00000000-0005-0000-0000-000032000000}"/>
    <cellStyle name="Buena 2" xfId="78" xr:uid="{00000000-0005-0000-0000-000033000000}"/>
    <cellStyle name="Cabecera 1" xfId="79" xr:uid="{00000000-0005-0000-0000-000034000000}"/>
    <cellStyle name="Cabecera 1 2" xfId="80" xr:uid="{00000000-0005-0000-0000-000035000000}"/>
    <cellStyle name="Cabecera 1 2 2" xfId="81" xr:uid="{00000000-0005-0000-0000-000036000000}"/>
    <cellStyle name="Cabecera 2" xfId="82" xr:uid="{00000000-0005-0000-0000-000037000000}"/>
    <cellStyle name="Cabecera 2 2" xfId="83" xr:uid="{00000000-0005-0000-0000-000038000000}"/>
    <cellStyle name="Cabecera 2 2 2" xfId="84" xr:uid="{00000000-0005-0000-0000-000039000000}"/>
    <cellStyle name="Calculation 2" xfId="85" xr:uid="{00000000-0005-0000-0000-00003A000000}"/>
    <cellStyle name="Cálculo" xfId="86" xr:uid="{00000000-0005-0000-0000-00003B000000}"/>
    <cellStyle name="Celda de comprobación" xfId="87" xr:uid="{00000000-0005-0000-0000-00003C000000}"/>
    <cellStyle name="Celda de comprobación 2" xfId="88" xr:uid="{00000000-0005-0000-0000-00003D000000}"/>
    <cellStyle name="Celda vinculada" xfId="89" xr:uid="{00000000-0005-0000-0000-00003E000000}"/>
    <cellStyle name="Celda vinculada 2" xfId="90" xr:uid="{00000000-0005-0000-0000-00003F000000}"/>
    <cellStyle name="Comma 2" xfId="91" xr:uid="{00000000-0005-0000-0000-000040000000}"/>
    <cellStyle name="Comma 2 2" xfId="92" xr:uid="{00000000-0005-0000-0000-000041000000}"/>
    <cellStyle name="Comma 3" xfId="93" xr:uid="{00000000-0005-0000-0000-000042000000}"/>
    <cellStyle name="Currency 2" xfId="17" xr:uid="{00000000-0005-0000-0000-000003000000}"/>
    <cellStyle name="Encabezado 4" xfId="94" xr:uid="{00000000-0005-0000-0000-000043000000}"/>
    <cellStyle name="Encabezado 4 2" xfId="95" xr:uid="{00000000-0005-0000-0000-000044000000}"/>
    <cellStyle name="Énfasis1" xfId="96" xr:uid="{00000000-0005-0000-0000-000045000000}"/>
    <cellStyle name="Énfasis2" xfId="97" xr:uid="{00000000-0005-0000-0000-000046000000}"/>
    <cellStyle name="Énfasis3" xfId="98" xr:uid="{00000000-0005-0000-0000-000047000000}"/>
    <cellStyle name="Énfasis4" xfId="99" xr:uid="{00000000-0005-0000-0000-000048000000}"/>
    <cellStyle name="Énfasis5" xfId="100" xr:uid="{00000000-0005-0000-0000-000049000000}"/>
    <cellStyle name="Énfasis6" xfId="101" xr:uid="{00000000-0005-0000-0000-00004A000000}"/>
    <cellStyle name="Entrada" xfId="102" xr:uid="{00000000-0005-0000-0000-00004B000000}"/>
    <cellStyle name="Entrada 2" xfId="103" xr:uid="{00000000-0005-0000-0000-00004C000000}"/>
    <cellStyle name="Euro" xfId="104" xr:uid="{00000000-0005-0000-0000-00004D000000}"/>
    <cellStyle name="Euro 2" xfId="105" xr:uid="{00000000-0005-0000-0000-00004E000000}"/>
    <cellStyle name="Euro 2 2" xfId="106" xr:uid="{00000000-0005-0000-0000-00004F000000}"/>
    <cellStyle name="Euro 3" xfId="107" xr:uid="{00000000-0005-0000-0000-000050000000}"/>
    <cellStyle name="Explanatory Text 2" xfId="108" xr:uid="{00000000-0005-0000-0000-000051000000}"/>
    <cellStyle name="Fecha" xfId="109" xr:uid="{00000000-0005-0000-0000-000052000000}"/>
    <cellStyle name="Fecha 2" xfId="110" xr:uid="{00000000-0005-0000-0000-000053000000}"/>
    <cellStyle name="Fecha 2 2" xfId="111" xr:uid="{00000000-0005-0000-0000-000054000000}"/>
    <cellStyle name="Fijo" xfId="112" xr:uid="{00000000-0005-0000-0000-000055000000}"/>
    <cellStyle name="Fijo 2" xfId="113" xr:uid="{00000000-0005-0000-0000-000056000000}"/>
    <cellStyle name="Fijo 2 2" xfId="114" xr:uid="{00000000-0005-0000-0000-000057000000}"/>
    <cellStyle name="Heading 1 2" xfId="115" xr:uid="{00000000-0005-0000-0000-000058000000}"/>
    <cellStyle name="Heading 2 2" xfId="116" xr:uid="{00000000-0005-0000-0000-000059000000}"/>
    <cellStyle name="Heading 3 2" xfId="117" xr:uid="{00000000-0005-0000-0000-00005A000000}"/>
    <cellStyle name="Hyperlink 2" xfId="28" xr:uid="{00000000-0005-0000-0000-000004000000}"/>
    <cellStyle name="Hyperlink 3" xfId="27" xr:uid="{00000000-0005-0000-0000-000005000000}"/>
    <cellStyle name="Hyperlink 4" xfId="11" xr:uid="{00000000-0005-0000-0000-000006000000}"/>
    <cellStyle name="Incorrecto" xfId="118" xr:uid="{00000000-0005-0000-0000-00005B000000}"/>
    <cellStyle name="Monetario0" xfId="119" xr:uid="{00000000-0005-0000-0000-00005C000000}"/>
    <cellStyle name="Monetario0 2" xfId="120" xr:uid="{00000000-0005-0000-0000-00005D000000}"/>
    <cellStyle name="Monetario0 2 2" xfId="121" xr:uid="{00000000-0005-0000-0000-00005E000000}"/>
    <cellStyle name="Neutral" xfId="186" builtinId="28"/>
    <cellStyle name="Normal" xfId="0" builtinId="0"/>
    <cellStyle name="Normal 17" xfId="29" xr:uid="{00000000-0005-0000-0000-000008000000}"/>
    <cellStyle name="Normal 2" xfId="5" xr:uid="{00000000-0005-0000-0000-000009000000}"/>
    <cellStyle name="Normal 2 2" xfId="14" xr:uid="{00000000-0005-0000-0000-00000A000000}"/>
    <cellStyle name="Normal 2 2 2" xfId="16" xr:uid="{00000000-0005-0000-0000-00000B000000}"/>
    <cellStyle name="Normal 2 2 2 2" xfId="124" xr:uid="{00000000-0005-0000-0000-000063000000}"/>
    <cellStyle name="Normal 2 2 2 2 2" xfId="125" xr:uid="{00000000-0005-0000-0000-000064000000}"/>
    <cellStyle name="Normal 2 2 2 2 2 2" xfId="126" xr:uid="{00000000-0005-0000-0000-000065000000}"/>
    <cellStyle name="Normal 2 2 2 2 2 2 2" xfId="127" xr:uid="{00000000-0005-0000-0000-000066000000}"/>
    <cellStyle name="Normal 2 2 2 2 2 3" xfId="128" xr:uid="{00000000-0005-0000-0000-000067000000}"/>
    <cellStyle name="Normal 2 2 2 2 3" xfId="129" xr:uid="{00000000-0005-0000-0000-000068000000}"/>
    <cellStyle name="Normal 2 2 2 2 3 2" xfId="130" xr:uid="{00000000-0005-0000-0000-000069000000}"/>
    <cellStyle name="Normal 2 2 2 2 4" xfId="131" xr:uid="{00000000-0005-0000-0000-00006A000000}"/>
    <cellStyle name="Normal 2 2 2 3" xfId="132" xr:uid="{00000000-0005-0000-0000-00006B000000}"/>
    <cellStyle name="Normal 2 2 2 3 2" xfId="133" xr:uid="{00000000-0005-0000-0000-00006C000000}"/>
    <cellStyle name="Normal 2 2 2 3 2 2" xfId="134" xr:uid="{00000000-0005-0000-0000-00006D000000}"/>
    <cellStyle name="Normal 2 2 2 3 3" xfId="135" xr:uid="{00000000-0005-0000-0000-00006E000000}"/>
    <cellStyle name="Normal 2 2 2 4" xfId="136" xr:uid="{00000000-0005-0000-0000-00006F000000}"/>
    <cellStyle name="Normal 2 2 2 4 2" xfId="137" xr:uid="{00000000-0005-0000-0000-000070000000}"/>
    <cellStyle name="Normal 2 2 2 5" xfId="138" xr:uid="{00000000-0005-0000-0000-000071000000}"/>
    <cellStyle name="Normal 2 2 2 5 2" xfId="139" xr:uid="{00000000-0005-0000-0000-000072000000}"/>
    <cellStyle name="Normal 2 2 2 6" xfId="140" xr:uid="{00000000-0005-0000-0000-000073000000}"/>
    <cellStyle name="Normal 2 2 2 7" xfId="123" xr:uid="{00000000-0005-0000-0000-000062000000}"/>
    <cellStyle name="Normal 2 2 3" xfId="141" xr:uid="{00000000-0005-0000-0000-000074000000}"/>
    <cellStyle name="Normal 2 2 3 2" xfId="142" xr:uid="{00000000-0005-0000-0000-000075000000}"/>
    <cellStyle name="Normal 2 2 4" xfId="143" xr:uid="{00000000-0005-0000-0000-000076000000}"/>
    <cellStyle name="Normal 2 2 5" xfId="144" xr:uid="{00000000-0005-0000-0000-000077000000}"/>
    <cellStyle name="Normal 2 2 6" xfId="122" xr:uid="{00000000-0005-0000-0000-000061000000}"/>
    <cellStyle name="Normal 2 3" xfId="15" xr:uid="{00000000-0005-0000-0000-00000C000000}"/>
    <cellStyle name="Normal 2 3 2" xfId="18" xr:uid="{00000000-0005-0000-0000-00000D000000}"/>
    <cellStyle name="Normal 2 3 2 2" xfId="147" xr:uid="{00000000-0005-0000-0000-00007A000000}"/>
    <cellStyle name="Normal 2 3 2 3" xfId="146" xr:uid="{00000000-0005-0000-0000-000079000000}"/>
    <cellStyle name="Normal 2 3 3" xfId="148" xr:uid="{00000000-0005-0000-0000-00007B000000}"/>
    <cellStyle name="Normal 2 3 4" xfId="145" xr:uid="{00000000-0005-0000-0000-000078000000}"/>
    <cellStyle name="Normal 2 4" xfId="20" xr:uid="{00000000-0005-0000-0000-00000E000000}"/>
    <cellStyle name="Normal 2 4 2" xfId="149" xr:uid="{00000000-0005-0000-0000-00007C000000}"/>
    <cellStyle name="Normal 2 5" xfId="25" xr:uid="{00000000-0005-0000-0000-00000F000000}"/>
    <cellStyle name="Normal 2 5 2" xfId="150" xr:uid="{00000000-0005-0000-0000-00007D000000}"/>
    <cellStyle name="Normal 2 6" xfId="12" xr:uid="{00000000-0005-0000-0000-000010000000}"/>
    <cellStyle name="Normal 3" xfId="7" xr:uid="{00000000-0005-0000-0000-000011000000}"/>
    <cellStyle name="Normal 3 2" xfId="21" xr:uid="{00000000-0005-0000-0000-000012000000}"/>
    <cellStyle name="Normal 3 2 2" xfId="151" xr:uid="{00000000-0005-0000-0000-000080000000}"/>
    <cellStyle name="Normal 3 2 2 2" xfId="152" xr:uid="{00000000-0005-0000-0000-000081000000}"/>
    <cellStyle name="Normal 3 2 3" xfId="153" xr:uid="{00000000-0005-0000-0000-000082000000}"/>
    <cellStyle name="Normal 3 3" xfId="154" xr:uid="{00000000-0005-0000-0000-000083000000}"/>
    <cellStyle name="Normal 3 3 2" xfId="155" xr:uid="{00000000-0005-0000-0000-000084000000}"/>
    <cellStyle name="Normal 3 4" xfId="156" xr:uid="{00000000-0005-0000-0000-000085000000}"/>
    <cellStyle name="Normal 3 4 2" xfId="157" xr:uid="{00000000-0005-0000-0000-000086000000}"/>
    <cellStyle name="Normal 3 5" xfId="158" xr:uid="{00000000-0005-0000-0000-000087000000}"/>
    <cellStyle name="Normal 4" xfId="23" xr:uid="{00000000-0005-0000-0000-000013000000}"/>
    <cellStyle name="Normal 4 2" xfId="160" xr:uid="{00000000-0005-0000-0000-000089000000}"/>
    <cellStyle name="Normal 4 3" xfId="159" xr:uid="{00000000-0005-0000-0000-000088000000}"/>
    <cellStyle name="Normal 5" xfId="13" xr:uid="{00000000-0005-0000-0000-000014000000}"/>
    <cellStyle name="Normal 5 2" xfId="19" xr:uid="{00000000-0005-0000-0000-000015000000}"/>
    <cellStyle name="Normal 5 2 2" xfId="162" xr:uid="{00000000-0005-0000-0000-00008C000000}"/>
    <cellStyle name="Normal 5 2 3" xfId="161" xr:uid="{00000000-0005-0000-0000-00008B000000}"/>
    <cellStyle name="Normal 5 3" xfId="26" xr:uid="{00000000-0005-0000-0000-000016000000}"/>
    <cellStyle name="Normal 6" xfId="9" xr:uid="{00000000-0005-0000-0000-000017000000}"/>
    <cellStyle name="Normal 6 2" xfId="163" xr:uid="{00000000-0005-0000-0000-00008F000000}"/>
    <cellStyle name="Normal 6 3" xfId="3" xr:uid="{00000000-0005-0000-0000-000018000000}"/>
    <cellStyle name="Normal 7" xfId="22" xr:uid="{00000000-0005-0000-0000-000019000000}"/>
    <cellStyle name="Normal 7 2" xfId="164" xr:uid="{00000000-0005-0000-0000-000090000000}"/>
    <cellStyle name="Normal 8" xfId="4" xr:uid="{00000000-0005-0000-0000-00001A000000}"/>
    <cellStyle name="Normal 8 2" xfId="166" xr:uid="{00000000-0005-0000-0000-000092000000}"/>
    <cellStyle name="Normal 8 3" xfId="165" xr:uid="{00000000-0005-0000-0000-000091000000}"/>
    <cellStyle name="Normal 9" xfId="167" xr:uid="{00000000-0005-0000-0000-000093000000}"/>
    <cellStyle name="Normal 9 2" xfId="168" xr:uid="{00000000-0005-0000-0000-000094000000}"/>
    <cellStyle name="Normal_Sheet1" xfId="2" xr:uid="{00000000-0005-0000-0000-00001B000000}"/>
    <cellStyle name="Notas" xfId="169" xr:uid="{00000000-0005-0000-0000-000096000000}"/>
    <cellStyle name="Notas 2" xfId="170" xr:uid="{00000000-0005-0000-0000-000097000000}"/>
    <cellStyle name="Notas 3" xfId="171" xr:uid="{00000000-0005-0000-0000-000098000000}"/>
    <cellStyle name="Output 2" xfId="172" xr:uid="{00000000-0005-0000-0000-000099000000}"/>
    <cellStyle name="Percent 2" xfId="6" xr:uid="{00000000-0005-0000-0000-00001C000000}"/>
    <cellStyle name="Percent 3" xfId="8" xr:uid="{00000000-0005-0000-0000-00001D000000}"/>
    <cellStyle name="Punto0" xfId="173" xr:uid="{00000000-0005-0000-0000-00009A000000}"/>
    <cellStyle name="Punto0 2" xfId="174" xr:uid="{00000000-0005-0000-0000-00009B000000}"/>
    <cellStyle name="Punto0 2 2" xfId="175" xr:uid="{00000000-0005-0000-0000-00009C000000}"/>
    <cellStyle name="Salida" xfId="176" xr:uid="{00000000-0005-0000-0000-00009D000000}"/>
    <cellStyle name="Style 1 2" xfId="177" xr:uid="{00000000-0005-0000-0000-00009E000000}"/>
    <cellStyle name="Texto de advertencia" xfId="178" xr:uid="{00000000-0005-0000-0000-00009F000000}"/>
    <cellStyle name="Texto de advertencia 2" xfId="179" xr:uid="{00000000-0005-0000-0000-0000A0000000}"/>
    <cellStyle name="Texto explicativo" xfId="180" xr:uid="{00000000-0005-0000-0000-0000A1000000}"/>
    <cellStyle name="Title 2" xfId="181" xr:uid="{00000000-0005-0000-0000-0000A2000000}"/>
    <cellStyle name="Título" xfId="182" xr:uid="{00000000-0005-0000-0000-0000A3000000}"/>
    <cellStyle name="Título 1" xfId="183" xr:uid="{00000000-0005-0000-0000-0000A4000000}"/>
    <cellStyle name="Título 2" xfId="184" xr:uid="{00000000-0005-0000-0000-0000A5000000}"/>
    <cellStyle name="Título 3" xfId="185" xr:uid="{00000000-0005-0000-0000-0000A6000000}"/>
  </cellStyles>
  <dxfs count="7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Arial"/>
        <family val="2"/>
        <scheme val="none"/>
      </font>
      <numFmt numFmtId="21" formatCode="d\-mmm"/>
      <fill>
        <patternFill patternType="solid">
          <fgColor indexed="64"/>
          <bgColor theme="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104775</xdr:rowOff>
    </xdr:from>
    <xdr:to>
      <xdr:col>2</xdr:col>
      <xdr:colOff>1381125</xdr:colOff>
      <xdr:row>1</xdr:row>
      <xdr:rowOff>466725</xdr:rowOff>
    </xdr:to>
    <xdr:sp macro="[0]!InputEmployees" textlink="">
      <xdr:nvSpPr>
        <xdr:cNvPr id="2" name="Rectangle: Diagonal Corners Snipped 1">
          <a:extLst>
            <a:ext uri="{FF2B5EF4-FFF2-40B4-BE49-F238E27FC236}">
              <a16:creationId xmlns:a16="http://schemas.microsoft.com/office/drawing/2014/main" id="{346BB95E-EBAC-4F43-AB63-0EA24CED885D}"/>
            </a:ext>
          </a:extLst>
        </xdr:cNvPr>
        <xdr:cNvSpPr/>
      </xdr:nvSpPr>
      <xdr:spPr>
        <a:xfrm>
          <a:off x="2505075" y="104775"/>
          <a:ext cx="1228725" cy="742950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AUTOMATIC EMPLOYEES INPUT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266AE9-FB0C-4A0C-9C06-F256C20F9E4B}" name="Table1" displayName="Table1" ref="A4:V5" insertRow="1" totalsRowShown="0" headerRowDxfId="74" headerRowBorderDxfId="73" tableBorderDxfId="72" totalsRowBorderDxfId="71" headerRowCellStyle="Normal_Sheet1">
  <autoFilter ref="A4:V5" xr:uid="{92561F99-4256-475E-828F-C1E6F2E31A19}"/>
  <tableColumns count="22">
    <tableColumn id="3" xr3:uid="{6D04944D-4470-4002-8B7E-DB5899A0BB21}" name="Employee ID" dataDxfId="70"/>
    <tableColumn id="4" xr3:uid="{D88B96F7-EF23-41AB-A391-18AD3BDD988E}" name="Other Employee ID" dataDxfId="69"/>
    <tableColumn id="5" xr3:uid="{1A398E23-A9C7-4E37-ADA6-5DEF0283E6FF}" name="Employee Name" dataDxfId="68"/>
    <tableColumn id="24" xr3:uid="{3269E64A-669D-41C0-8855-378AD99B751C}" name="Manager" dataDxfId="67"/>
    <tableColumn id="1" xr3:uid="{C655531F-034D-44B3-A60F-D3DCE3234477}" name="Present in both SCHED TABS?" dataDxfId="66">
      <calculatedColumnFormula>IF(COUNTIF(OldSched[Employee ID],Table1[[#This Row],[Employee ID]])+COUNTIF(NewSched[Employee ID],Table1[[#This Row],[Employee ID]])=2,"OK","MISSING FROM OLD OR NEW SCHEDS")</calculatedColumnFormula>
    </tableColumn>
    <tableColumn id="6" xr3:uid="{201307D9-3C27-45E5-9EBF-725703AB935D}" name="SunPrev" dataDxfId="65" dataCellStyle="%">
      <calculatedColumnFormula>+COUNTIFS(OldSched[Sun],"*:*",OldSched[Employee ID],Table1[[#This Row],[Employee ID]])</calculatedColumnFormula>
    </tableColumn>
    <tableColumn id="7" xr3:uid="{B4D38FCB-AAE5-4335-BFBB-629E18B5F171}" name="MonPrev" dataDxfId="64" dataCellStyle="%">
      <calculatedColumnFormula>+COUNTIFS(OldSched[Mon],"*:*",OldSched[Employee ID],Table1[[#This Row],[Employee ID]])</calculatedColumnFormula>
    </tableColumn>
    <tableColumn id="8" xr3:uid="{5F58373A-B082-43C5-BA3E-F58C0AEBD6AE}" name="TuePrev" dataDxfId="63" dataCellStyle="%">
      <calculatedColumnFormula>+COUNTIFS(OldSched[Tue],"*:*",OldSched[Employee ID],Table1[[#This Row],[Employee ID]])</calculatedColumnFormula>
    </tableColumn>
    <tableColumn id="9" xr3:uid="{C040E519-9851-4E9D-9CCD-5A59FBDCB9DF}" name="WedPrev" dataDxfId="62" dataCellStyle="%">
      <calculatedColumnFormula>+COUNTIFS(OldSched[Wed],"*:*",OldSched[Employee ID],Table1[[#This Row],[Employee ID]])</calculatedColumnFormula>
    </tableColumn>
    <tableColumn id="10" xr3:uid="{34F77D0F-227B-47B3-BF45-C32831A684E2}" name="ThuPrev" dataDxfId="61" dataCellStyle="%">
      <calculatedColumnFormula>+COUNTIFS(OldSched[Thu],"*:*",OldSched[Employee ID],Table1[[#This Row],[Employee ID]])</calculatedColumnFormula>
    </tableColumn>
    <tableColumn id="11" xr3:uid="{DB65BE31-542D-41A8-BBD7-A71DFBEC822C}" name="FriPrev" dataDxfId="60" dataCellStyle="%">
      <calculatedColumnFormula>+COUNTIFS(OldSched[Fri],"*:*",OldSched[Employee ID],Table1[[#This Row],[Employee ID]])</calculatedColumnFormula>
    </tableColumn>
    <tableColumn id="12" xr3:uid="{D27F9445-EF14-4291-8F2D-4671636552D5}" name="SatPrev" dataDxfId="59" dataCellStyle="%">
      <calculatedColumnFormula>+COUNTIFS(OldSched[Sat],"*:*",OldSched[Employee ID],Table1[[#This Row],[Employee ID]])</calculatedColumnFormula>
    </tableColumn>
    <tableColumn id="13" xr3:uid="{8D9366F4-15E9-445B-9F74-420180B21079}" name="SunAft" dataDxfId="58" dataCellStyle="%">
      <calculatedColumnFormula>+COUNTIFS(NewSched[Sun],"*:*",NewSched[Employee ID],Table1[[#This Row],[Employee ID]])</calculatedColumnFormula>
    </tableColumn>
    <tableColumn id="14" xr3:uid="{BFE8F240-8862-4A45-9A42-C11331A58ED6}" name="MonAft" dataDxfId="57" dataCellStyle="%">
      <calculatedColumnFormula>+COUNTIFS(NewSched[Mon],"*:*",NewSched[Employee ID],Table1[[#This Row],[Employee ID]])</calculatedColumnFormula>
    </tableColumn>
    <tableColumn id="15" xr3:uid="{1367B333-A0BE-47FA-B32D-D7FD665D734F}" name="TueAft" dataDxfId="56" dataCellStyle="%">
      <calculatedColumnFormula>+COUNTIFS(NewSched[Tue],"*:*",NewSched[Employee ID],Table1[[#This Row],[Employee ID]])</calculatedColumnFormula>
    </tableColumn>
    <tableColumn id="16" xr3:uid="{5889883B-3729-4FC3-875A-97AFF1C4DADB}" name="WedAft" dataDxfId="55" dataCellStyle="%">
      <calculatedColumnFormula>+COUNTIFS(NewSched[Wed],"*:*",NewSched[Employee ID],Table1[[#This Row],[Employee ID]])</calculatedColumnFormula>
    </tableColumn>
    <tableColumn id="17" xr3:uid="{7975FA5D-D473-4535-B9CF-EB51E289DDCC}" name="ThuAft" dataDxfId="54" dataCellStyle="%">
      <calculatedColumnFormula>+COUNTIFS(NewSched[Thu],"*:*",NewSched[Employee ID],Table1[[#This Row],[Employee ID]])</calculatedColumnFormula>
    </tableColumn>
    <tableColumn id="18" xr3:uid="{BA00C5B9-BD04-4C5C-9BA3-8FFF2572E1E1}" name="FriAft" dataDxfId="53" dataCellStyle="%">
      <calculatedColumnFormula>+COUNTIFS(NewSched[Fri],"*:*",NewSched[Employee ID],Table1[[#This Row],[Employee ID]])</calculatedColumnFormula>
    </tableColumn>
    <tableColumn id="19" xr3:uid="{B4C8D814-4584-496B-BE36-967240449BC2}" name="SatAft" dataDxfId="52" dataCellStyle="%">
      <calculatedColumnFormula>+COUNTIFS(NewSched[Sat],"*:*",NewSched[Employee ID],Table1[[#This Row],[Employee ID]])</calculatedColumnFormula>
    </tableColumn>
    <tableColumn id="21" xr3:uid="{C3F6FF0B-0255-4B37-AEFE-9ED17D12AEF1}" name="MAX CONSECUTIVE DAYS" dataDxfId="51">
      <calculatedColumnFormula array="1">MAX(FREQUENCY(IF(Table1[[#This Row],[SunPrev]:[SatAft]]=1,COLUMN(Table1[[#This Row],[SunPrev]:[SatAft]])),IF(Table1[[#This Row],[SunPrev]:[SatAft]]&lt;&gt;1,COLUMN(Table1[[#This Row],[SunPrev]:[SatAft]]))))</calculatedColumnFormula>
    </tableColumn>
    <tableColumn id="23" xr3:uid="{B3C0AB43-9614-46F2-ADFA-E429612CC7A7}" name="DATE_x000a_SPECIAL OFF" dataDxfId="50">
      <calculatedColumnFormula>IF(Table1[[#This Row],[MAX CONSECUTIVE DAYS]]&gt;$T$3,"DETERMINE","")</calculatedColumnFormula>
    </tableColumn>
    <tableColumn id="25" xr3:uid="{8EDCB39E-39FC-44BE-B4C2-B488287E9CA1}" name="WEEKDAY SPECIAL OFF" dataDxfId="49" dataCellStyle="%">
      <calculatedColumnFormula>IFERROR(TEXT(WEEKDAY(Table1[[#This Row],[DATE
SPECIAL OFF]]),"DDD"),"")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1DAFF05-1D2D-447F-AAAF-D51A0FD18D32}" name="Table4" displayName="Table4" ref="A1:D2" insertRow="1" totalsRowShown="0">
  <autoFilter ref="A1:D2" xr:uid="{F9BF6031-37B9-43FB-AD46-26A50C447090}"/>
  <tableColumns count="4">
    <tableColumn id="1" xr3:uid="{C0169AC6-E4CB-477A-89FE-920451132A23}" name="Employee ID"/>
    <tableColumn id="2" xr3:uid="{3D6EEC5B-1D9D-472D-90CE-3FF5AACD1C35}" name="Other Employee ID"/>
    <tableColumn id="3" xr3:uid="{D9FA2963-A31B-4DF8-97B5-9EB321043963}" name="Employee Name"/>
    <tableColumn id="4" xr3:uid="{9796072E-DCBD-4C0E-82CC-B13983DBB1A2}" name="Manager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EABE9B0-29D7-440E-ABD9-E61258DF0531}" name="OldSched" displayName="OldSched" ref="A1:K2" insertRow="1" totalsRowShown="0">
  <autoFilter ref="A1:K2" xr:uid="{4073DF09-CC7A-4A5F-A4FE-5280271C0583}"/>
  <tableColumns count="11">
    <tableColumn id="1" xr3:uid="{22A07BE0-A1CA-4F95-B9A8-10E253A120EB}" name="Employee ID"/>
    <tableColumn id="2" xr3:uid="{79AC499D-E4A8-4BF9-AAD1-FEA33941CC68}" name="Other Employee ID"/>
    <tableColumn id="3" xr3:uid="{50519D16-003F-45BE-AF7D-F82E92E61329}" name="Employee Name"/>
    <tableColumn id="4" xr3:uid="{687EF8CC-2A74-48E2-AE53-C01B5FE38454}" name="Manager"/>
    <tableColumn id="5" xr3:uid="{42893F3F-BF2F-4EF8-B567-CE613986D979}" name="Sun"/>
    <tableColumn id="6" xr3:uid="{9C96CD77-D127-48FD-9891-E7E2D9322E20}" name="Mon"/>
    <tableColumn id="7" xr3:uid="{9741FF26-2949-41A8-80D1-C10A3F77EDA4}" name="Tue"/>
    <tableColumn id="8" xr3:uid="{A35E3577-2CDA-45BD-81F5-D7391D2CA022}" name="Wed"/>
    <tableColumn id="9" xr3:uid="{BFDFBEEA-5B15-42E6-8156-4317E075D667}" name="Thu"/>
    <tableColumn id="10" xr3:uid="{51876252-EF6A-4C86-BDBF-A1E34962E615}" name="Fri"/>
    <tableColumn id="11" xr3:uid="{7E7D67BC-D899-4602-8E69-0B8CE43B3505}" name="Sat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1C6D3B-82CB-402C-8389-D26895C8E17F}" name="NewSched" displayName="NewSched" ref="A1:K2" insertRow="1" totalsRowShown="0">
  <autoFilter ref="A1:K2" xr:uid="{507F88C8-2631-4D38-8FCD-BA1531BA9D6C}"/>
  <tableColumns count="11">
    <tableColumn id="1" xr3:uid="{7A6FED06-E25D-4E84-9B7D-76FECE491438}" name="Employee ID"/>
    <tableColumn id="2" xr3:uid="{CAD3E3A4-070E-48A9-86FF-CA7C28DC06BA}" name="Other Employee ID"/>
    <tableColumn id="3" xr3:uid="{C542EE76-4B97-4615-97C8-02CC48B3DF79}" name="Employee Name"/>
    <tableColumn id="4" xr3:uid="{D7FD52B1-0770-4820-B4DD-77FE4A8A284E}" name="Manager"/>
    <tableColumn id="5" xr3:uid="{3B268EBF-7101-4524-908A-ED5DA48B07C1}" name="Sun"/>
    <tableColumn id="6" xr3:uid="{DAA02C9F-35FA-4E0B-AD09-2D52B9138DDA}" name="Mon"/>
    <tableColumn id="7" xr3:uid="{0E68BCB5-907D-4833-B6F4-4B6177C9ADE6}" name="Tue"/>
    <tableColumn id="8" xr3:uid="{45CA934D-1CD7-49BC-9BB8-E21D0F273BBB}" name="Wed"/>
    <tableColumn id="9" xr3:uid="{FF704B4C-F689-4414-BCF3-48F7108B5EA6}" name="Thu"/>
    <tableColumn id="10" xr3:uid="{69627DBF-1555-4E3A-A5AB-E891A7BBAD29}" name="Fri"/>
    <tableColumn id="11" xr3:uid="{90891338-1A6B-471C-9818-5138EF2BDD5C}" name="Sa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C2:N13"/>
  <sheetViews>
    <sheetView workbookViewId="0"/>
  </sheetViews>
  <sheetFormatPr defaultRowHeight="15" x14ac:dyDescent="0.25"/>
  <cols>
    <col min="3" max="3" width="14.28515625" bestFit="1" customWidth="1"/>
    <col min="4" max="4" width="14.28515625" customWidth="1"/>
    <col min="5" max="5" width="14.140625" bestFit="1" customWidth="1"/>
    <col min="6" max="6" width="7" bestFit="1" customWidth="1"/>
    <col min="7" max="7" width="23" bestFit="1" customWidth="1"/>
    <col min="8" max="14" width="10.140625" bestFit="1" customWidth="1"/>
  </cols>
  <sheetData>
    <row r="2" spans="3:14" ht="23.25" x14ac:dyDescent="0.25">
      <c r="C2" s="6" t="s">
        <v>182</v>
      </c>
      <c r="D2" s="6" t="s">
        <v>260</v>
      </c>
      <c r="E2" s="6" t="s">
        <v>181</v>
      </c>
      <c r="F2" s="6" t="s">
        <v>180</v>
      </c>
      <c r="G2" s="6" t="s">
        <v>179</v>
      </c>
      <c r="H2" s="7" t="s">
        <v>178</v>
      </c>
      <c r="I2" s="7" t="s">
        <v>177</v>
      </c>
      <c r="J2" s="7" t="s">
        <v>176</v>
      </c>
      <c r="K2" s="7" t="s">
        <v>175</v>
      </c>
      <c r="L2" s="7" t="s">
        <v>174</v>
      </c>
      <c r="M2" s="7" t="s">
        <v>173</v>
      </c>
      <c r="N2" s="7" t="s">
        <v>172</v>
      </c>
    </row>
    <row r="3" spans="3:14" x14ac:dyDescent="0.25">
      <c r="C3" s="3" t="s">
        <v>204</v>
      </c>
      <c r="D3" s="3">
        <v>1</v>
      </c>
      <c r="E3" s="3" t="s">
        <v>196</v>
      </c>
      <c r="F3" s="3">
        <v>292501</v>
      </c>
      <c r="G3" s="1" t="s">
        <v>210</v>
      </c>
      <c r="H3" s="1" t="s">
        <v>256</v>
      </c>
      <c r="I3" s="1" t="s">
        <v>256</v>
      </c>
      <c r="J3" s="1" t="s">
        <v>256</v>
      </c>
      <c r="K3" s="1" t="s">
        <v>256</v>
      </c>
      <c r="L3" s="1" t="s">
        <v>256</v>
      </c>
      <c r="M3" s="1" t="s">
        <v>256</v>
      </c>
      <c r="N3" s="1" t="s">
        <v>0</v>
      </c>
    </row>
    <row r="4" spans="3:14" x14ac:dyDescent="0.25">
      <c r="C4" s="3" t="s">
        <v>205</v>
      </c>
      <c r="D4" s="3">
        <v>2</v>
      </c>
      <c r="E4" s="3" t="s">
        <v>197</v>
      </c>
      <c r="F4" s="3">
        <v>4288039</v>
      </c>
      <c r="G4" s="1" t="s">
        <v>211</v>
      </c>
      <c r="H4" s="1" t="s">
        <v>183</v>
      </c>
      <c r="I4" s="1" t="s">
        <v>183</v>
      </c>
      <c r="J4" s="1" t="s">
        <v>183</v>
      </c>
      <c r="K4" s="1" t="s">
        <v>0</v>
      </c>
      <c r="L4" s="1" t="s">
        <v>183</v>
      </c>
      <c r="M4" s="1" t="s">
        <v>183</v>
      </c>
      <c r="N4" s="1" t="s">
        <v>183</v>
      </c>
    </row>
    <row r="5" spans="3:14" x14ac:dyDescent="0.25">
      <c r="C5" s="3" t="s">
        <v>206</v>
      </c>
      <c r="D5" s="3">
        <v>3</v>
      </c>
      <c r="E5" s="3" t="s">
        <v>198</v>
      </c>
      <c r="F5" s="3">
        <v>292708</v>
      </c>
      <c r="G5" s="1" t="s">
        <v>212</v>
      </c>
      <c r="H5" s="1" t="s">
        <v>0</v>
      </c>
      <c r="I5" s="1" t="s">
        <v>183</v>
      </c>
      <c r="J5" s="1" t="s">
        <v>183</v>
      </c>
      <c r="K5" s="1" t="s">
        <v>183</v>
      </c>
      <c r="L5" s="1" t="s">
        <v>183</v>
      </c>
      <c r="M5" s="1" t="s">
        <v>183</v>
      </c>
      <c r="N5" s="1" t="s">
        <v>183</v>
      </c>
    </row>
    <row r="6" spans="3:14" x14ac:dyDescent="0.25">
      <c r="C6" s="3" t="s">
        <v>204</v>
      </c>
      <c r="D6" s="3">
        <v>4</v>
      </c>
      <c r="E6" s="3" t="s">
        <v>199</v>
      </c>
      <c r="F6" s="3">
        <v>4288067</v>
      </c>
      <c r="G6" s="1" t="s">
        <v>213</v>
      </c>
      <c r="H6" s="1" t="s">
        <v>0</v>
      </c>
      <c r="I6" s="1" t="s">
        <v>60</v>
      </c>
      <c r="J6" s="1" t="s">
        <v>60</v>
      </c>
      <c r="K6" s="1" t="s">
        <v>60</v>
      </c>
      <c r="L6" s="1" t="s">
        <v>60</v>
      </c>
      <c r="M6" s="1" t="s">
        <v>60</v>
      </c>
      <c r="N6" s="1" t="s">
        <v>256</v>
      </c>
    </row>
    <row r="7" spans="3:14" x14ac:dyDescent="0.25">
      <c r="C7" s="3" t="s">
        <v>205</v>
      </c>
      <c r="D7" s="3">
        <v>5</v>
      </c>
      <c r="E7" s="3" t="s">
        <v>200</v>
      </c>
      <c r="F7" s="3">
        <v>264403</v>
      </c>
      <c r="G7" s="1" t="s">
        <v>214</v>
      </c>
      <c r="H7" s="1" t="s">
        <v>195</v>
      </c>
      <c r="I7" s="1" t="s">
        <v>195</v>
      </c>
      <c r="J7" s="1" t="s">
        <v>195</v>
      </c>
      <c r="K7" s="1" t="s">
        <v>195</v>
      </c>
      <c r="L7" s="1" t="s">
        <v>195</v>
      </c>
      <c r="M7" s="1" t="s">
        <v>0</v>
      </c>
      <c r="N7" s="1" t="s">
        <v>0</v>
      </c>
    </row>
    <row r="8" spans="3:14" x14ac:dyDescent="0.25">
      <c r="C8" s="3" t="s">
        <v>206</v>
      </c>
      <c r="D8" s="3">
        <v>6</v>
      </c>
      <c r="E8" s="3" t="s">
        <v>201</v>
      </c>
      <c r="F8" s="3">
        <v>265991</v>
      </c>
      <c r="G8" s="1" t="s">
        <v>215</v>
      </c>
      <c r="H8" s="1" t="s">
        <v>0</v>
      </c>
      <c r="I8" s="1" t="s">
        <v>0</v>
      </c>
      <c r="J8" s="1" t="s">
        <v>8</v>
      </c>
      <c r="K8" s="1" t="s">
        <v>8</v>
      </c>
      <c r="L8" s="1" t="s">
        <v>8</v>
      </c>
      <c r="M8" s="1" t="s">
        <v>8</v>
      </c>
      <c r="N8" s="1" t="s">
        <v>8</v>
      </c>
    </row>
    <row r="9" spans="3:14" x14ac:dyDescent="0.25">
      <c r="C9" s="3" t="s">
        <v>204</v>
      </c>
      <c r="D9" s="3">
        <v>7</v>
      </c>
      <c r="E9" s="3" t="s">
        <v>277</v>
      </c>
      <c r="F9" s="3">
        <v>275939</v>
      </c>
      <c r="G9" s="1" t="s">
        <v>216</v>
      </c>
      <c r="H9" s="1" t="s">
        <v>257</v>
      </c>
      <c r="I9" s="1" t="s">
        <v>257</v>
      </c>
      <c r="J9" s="1" t="s">
        <v>257</v>
      </c>
      <c r="K9" s="1" t="s">
        <v>257</v>
      </c>
      <c r="L9" s="1" t="s">
        <v>257</v>
      </c>
      <c r="M9" s="1" t="s">
        <v>0</v>
      </c>
      <c r="N9" s="1" t="s">
        <v>0</v>
      </c>
    </row>
    <row r="10" spans="3:14" x14ac:dyDescent="0.25">
      <c r="C10" s="3" t="s">
        <v>206</v>
      </c>
      <c r="D10" s="3">
        <v>8</v>
      </c>
      <c r="E10" s="3" t="s">
        <v>278</v>
      </c>
      <c r="F10" s="3">
        <v>206333</v>
      </c>
      <c r="G10" s="1" t="s">
        <v>217</v>
      </c>
      <c r="H10" s="1" t="s">
        <v>0</v>
      </c>
      <c r="I10" s="1" t="s">
        <v>195</v>
      </c>
      <c r="J10" s="1" t="s">
        <v>195</v>
      </c>
      <c r="K10" s="1" t="s">
        <v>195</v>
      </c>
      <c r="L10" s="1" t="s">
        <v>195</v>
      </c>
      <c r="M10" s="1" t="s">
        <v>195</v>
      </c>
      <c r="N10" s="1" t="s">
        <v>0</v>
      </c>
    </row>
    <row r="11" spans="3:14" x14ac:dyDescent="0.25">
      <c r="C11" s="3" t="s">
        <v>205</v>
      </c>
      <c r="D11" s="3">
        <v>9</v>
      </c>
      <c r="E11" s="3" t="s">
        <v>279</v>
      </c>
      <c r="F11" s="3">
        <v>272157</v>
      </c>
      <c r="G11" s="1" t="s">
        <v>218</v>
      </c>
      <c r="H11" s="1" t="s">
        <v>195</v>
      </c>
      <c r="I11" s="1" t="s">
        <v>195</v>
      </c>
      <c r="J11" s="1" t="s">
        <v>195</v>
      </c>
      <c r="K11" s="1" t="s">
        <v>195</v>
      </c>
      <c r="L11" s="1" t="s">
        <v>0</v>
      </c>
      <c r="M11" s="1" t="s">
        <v>0</v>
      </c>
      <c r="N11" s="1" t="s">
        <v>195</v>
      </c>
    </row>
    <row r="12" spans="3:14" x14ac:dyDescent="0.25">
      <c r="C12" s="3" t="s">
        <v>205</v>
      </c>
      <c r="D12" s="3">
        <v>10</v>
      </c>
      <c r="E12" s="3" t="s">
        <v>202</v>
      </c>
      <c r="F12" s="3">
        <v>4280600</v>
      </c>
      <c r="G12" s="1" t="s">
        <v>219</v>
      </c>
      <c r="H12" s="1" t="s">
        <v>22</v>
      </c>
      <c r="I12" s="1" t="s">
        <v>0</v>
      </c>
      <c r="J12" s="1" t="s">
        <v>22</v>
      </c>
      <c r="K12" s="1" t="s">
        <v>22</v>
      </c>
      <c r="L12" s="1" t="s">
        <v>22</v>
      </c>
      <c r="M12" s="1" t="s">
        <v>22</v>
      </c>
      <c r="N12" s="1" t="s">
        <v>22</v>
      </c>
    </row>
    <row r="13" spans="3:14" x14ac:dyDescent="0.25">
      <c r="C13" s="3" t="s">
        <v>204</v>
      </c>
      <c r="D13" s="3">
        <v>11</v>
      </c>
      <c r="E13" s="3" t="s">
        <v>203</v>
      </c>
      <c r="F13" s="3">
        <v>4288053</v>
      </c>
      <c r="G13" s="1" t="s">
        <v>220</v>
      </c>
      <c r="H13" s="1" t="s">
        <v>183</v>
      </c>
      <c r="I13" s="1" t="s">
        <v>183</v>
      </c>
      <c r="J13" s="1" t="s">
        <v>183</v>
      </c>
      <c r="K13" s="1" t="s">
        <v>183</v>
      </c>
      <c r="L13" s="1" t="s">
        <v>0</v>
      </c>
      <c r="M13" s="1" t="s">
        <v>183</v>
      </c>
      <c r="N13" s="1" t="s">
        <v>183</v>
      </c>
    </row>
  </sheetData>
  <conditionalFormatting sqref="E2">
    <cfRule type="duplicateValues" dxfId="48" priority="39"/>
  </conditionalFormatting>
  <conditionalFormatting sqref="E2:F2">
    <cfRule type="duplicateValues" dxfId="47" priority="40"/>
  </conditionalFormatting>
  <conditionalFormatting sqref="F2">
    <cfRule type="duplicateValues" dxfId="46" priority="41"/>
  </conditionalFormatting>
  <conditionalFormatting sqref="F2">
    <cfRule type="duplicateValues" dxfId="45" priority="42"/>
  </conditionalFormatting>
  <conditionalFormatting sqref="F2">
    <cfRule type="duplicateValues" dxfId="44" priority="43"/>
    <cfRule type="duplicateValues" dxfId="43" priority="44"/>
    <cfRule type="duplicateValues" dxfId="42" priority="45"/>
  </conditionalFormatting>
  <conditionalFormatting sqref="F2">
    <cfRule type="duplicateValues" dxfId="41" priority="46"/>
  </conditionalFormatting>
  <conditionalFormatting sqref="F2">
    <cfRule type="duplicateValues" dxfId="40" priority="36"/>
    <cfRule type="duplicateValues" dxfId="39" priority="37"/>
    <cfRule type="duplicateValues" dxfId="38" priority="38"/>
  </conditionalFormatting>
  <conditionalFormatting sqref="F2">
    <cfRule type="duplicateValues" dxfId="37" priority="34"/>
    <cfRule type="duplicateValues" dxfId="36" priority="35"/>
  </conditionalFormatting>
  <conditionalFormatting sqref="E2">
    <cfRule type="duplicateValues" dxfId="35" priority="32"/>
    <cfRule type="duplicateValues" dxfId="34" priority="33"/>
  </conditionalFormatting>
  <conditionalFormatting sqref="F2">
    <cfRule type="duplicateValues" dxfId="33" priority="47"/>
  </conditionalFormatting>
  <conditionalFormatting sqref="F2">
    <cfRule type="duplicateValues" dxfId="32" priority="48"/>
    <cfRule type="duplicateValues" dxfId="31" priority="49"/>
  </conditionalFormatting>
  <conditionalFormatting sqref="G3:N13">
    <cfRule type="cellIs" dxfId="30" priority="18" operator="equal">
      <formula>"LOAMED"</formula>
    </cfRule>
    <cfRule type="cellIs" dxfId="29" priority="19" operator="equal">
      <formula>"OFF"</formula>
    </cfRule>
  </conditionalFormatting>
  <conditionalFormatting sqref="E3:E13">
    <cfRule type="duplicateValues" dxfId="28" priority="17"/>
  </conditionalFormatting>
  <conditionalFormatting sqref="E3:E13">
    <cfRule type="duplicateValues" dxfId="27" priority="27"/>
  </conditionalFormatting>
  <conditionalFormatting sqref="E3:E13">
    <cfRule type="duplicateValues" dxfId="26" priority="10"/>
    <cfRule type="duplicateValues" dxfId="25" priority="11"/>
  </conditionalFormatting>
  <conditionalFormatting sqref="F1:F1048576">
    <cfRule type="duplicateValues" dxfId="24" priority="1"/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46D24968-BDB8-49BF-B02C-3E06F8277AAD}">
            <xm:f>IF(VLOOKUP(F3,Attrition!$A:$C,3,FALSE)&lt;&gt;"-",1,0)</xm:f>
            <x14:dxf>
              <fill>
                <patternFill>
                  <bgColor rgb="FFFF0000"/>
                </patternFill>
              </fill>
            </x14:dxf>
          </x14:cfRule>
          <xm:sqref>F3:F13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275"/>
  <sheetViews>
    <sheetView topLeftCell="A71" workbookViewId="0">
      <selection activeCell="C276" sqref="C276"/>
    </sheetView>
  </sheetViews>
  <sheetFormatPr defaultRowHeight="15" x14ac:dyDescent="0.25"/>
  <cols>
    <col min="1" max="1" width="9.140625" style="4"/>
    <col min="2" max="2" width="36.42578125" style="4" bestFit="1" customWidth="1"/>
    <col min="3" max="3" width="9.7109375" style="4" bestFit="1" customWidth="1"/>
  </cols>
  <sheetData>
    <row r="1" spans="1:6" x14ac:dyDescent="0.25">
      <c r="A1" s="4" t="s">
        <v>207</v>
      </c>
      <c r="B1" s="4" t="s">
        <v>208</v>
      </c>
      <c r="C1" s="4" t="s">
        <v>209</v>
      </c>
    </row>
    <row r="2" spans="1:6" x14ac:dyDescent="0.25">
      <c r="A2" s="4">
        <v>4270235</v>
      </c>
      <c r="B2" s="4" t="s">
        <v>244</v>
      </c>
      <c r="C2" s="5">
        <v>43200</v>
      </c>
    </row>
    <row r="3" spans="1:6" x14ac:dyDescent="0.25">
      <c r="A3" s="4">
        <v>4270227</v>
      </c>
      <c r="B3" s="4" t="s">
        <v>248</v>
      </c>
      <c r="C3" s="5">
        <v>43200</v>
      </c>
    </row>
    <row r="4" spans="1:6" x14ac:dyDescent="0.25">
      <c r="A4" s="4">
        <v>4270197</v>
      </c>
      <c r="B4" s="4" t="s">
        <v>252</v>
      </c>
      <c r="C4" s="5">
        <v>43200</v>
      </c>
    </row>
    <row r="5" spans="1:6" x14ac:dyDescent="0.25">
      <c r="A5" s="4">
        <v>285868</v>
      </c>
      <c r="B5" s="4" t="s">
        <v>160</v>
      </c>
      <c r="C5" s="4" t="s">
        <v>110</v>
      </c>
    </row>
    <row r="6" spans="1:6" x14ac:dyDescent="0.25">
      <c r="A6" s="4">
        <v>261990</v>
      </c>
      <c r="B6" s="4" t="s">
        <v>165</v>
      </c>
      <c r="C6" s="5">
        <v>43224</v>
      </c>
    </row>
    <row r="7" spans="1:6" x14ac:dyDescent="0.25">
      <c r="A7" s="4">
        <v>36794</v>
      </c>
      <c r="B7" s="4" t="s">
        <v>170</v>
      </c>
      <c r="C7" s="4" t="s">
        <v>110</v>
      </c>
    </row>
    <row r="8" spans="1:6" x14ac:dyDescent="0.25">
      <c r="A8" s="4">
        <v>26505</v>
      </c>
      <c r="B8" s="4" t="s">
        <v>166</v>
      </c>
      <c r="C8" s="4" t="s">
        <v>110</v>
      </c>
    </row>
    <row r="9" spans="1:6" x14ac:dyDescent="0.25">
      <c r="A9" s="4">
        <v>265987</v>
      </c>
      <c r="B9" s="4" t="s">
        <v>82</v>
      </c>
      <c r="C9" s="5">
        <v>43270</v>
      </c>
    </row>
    <row r="10" spans="1:6" x14ac:dyDescent="0.25">
      <c r="A10" s="4">
        <v>265973</v>
      </c>
      <c r="B10" s="4" t="s">
        <v>184</v>
      </c>
      <c r="C10" s="4" t="s">
        <v>110</v>
      </c>
    </row>
    <row r="11" spans="1:6" x14ac:dyDescent="0.25">
      <c r="A11" s="4">
        <v>40685</v>
      </c>
      <c r="B11" s="4" t="s">
        <v>89</v>
      </c>
      <c r="C11" s="4" t="s">
        <v>110</v>
      </c>
      <c r="F11" s="4"/>
    </row>
    <row r="12" spans="1:6" x14ac:dyDescent="0.25">
      <c r="A12" s="4">
        <v>36788</v>
      </c>
      <c r="B12" s="4" t="s">
        <v>39</v>
      </c>
      <c r="C12" s="4" t="s">
        <v>110</v>
      </c>
    </row>
    <row r="13" spans="1:6" x14ac:dyDescent="0.25">
      <c r="A13" s="4">
        <v>275940</v>
      </c>
      <c r="B13" s="4" t="s">
        <v>164</v>
      </c>
      <c r="C13" s="4" t="s">
        <v>110</v>
      </c>
    </row>
    <row r="14" spans="1:6" x14ac:dyDescent="0.25">
      <c r="A14" s="4">
        <v>292507</v>
      </c>
      <c r="B14" s="4" t="s">
        <v>163</v>
      </c>
      <c r="C14" s="4" t="s">
        <v>110</v>
      </c>
    </row>
    <row r="15" spans="1:6" x14ac:dyDescent="0.25">
      <c r="A15" s="4">
        <v>283109</v>
      </c>
      <c r="B15" s="4" t="s">
        <v>121</v>
      </c>
      <c r="C15" s="4" t="s">
        <v>110</v>
      </c>
    </row>
    <row r="16" spans="1:6" x14ac:dyDescent="0.25">
      <c r="A16" s="4">
        <v>292514</v>
      </c>
      <c r="B16" s="4" t="s">
        <v>122</v>
      </c>
      <c r="C16" s="4" t="s">
        <v>110</v>
      </c>
    </row>
    <row r="17" spans="1:3" x14ac:dyDescent="0.25">
      <c r="A17" s="4">
        <v>292726</v>
      </c>
      <c r="B17" s="4" t="s">
        <v>118</v>
      </c>
      <c r="C17" s="4" t="s">
        <v>110</v>
      </c>
    </row>
    <row r="18" spans="1:3" x14ac:dyDescent="0.25">
      <c r="A18" s="4">
        <v>292683</v>
      </c>
      <c r="B18" s="4" t="s">
        <v>117</v>
      </c>
      <c r="C18" s="4" t="s">
        <v>110</v>
      </c>
    </row>
    <row r="19" spans="1:3" x14ac:dyDescent="0.25">
      <c r="A19" s="4">
        <v>292720</v>
      </c>
      <c r="B19" s="4" t="s">
        <v>113</v>
      </c>
      <c r="C19" s="4" t="s">
        <v>110</v>
      </c>
    </row>
    <row r="20" spans="1:3" x14ac:dyDescent="0.25">
      <c r="A20" s="4">
        <v>305469</v>
      </c>
      <c r="B20" s="4" t="s">
        <v>98</v>
      </c>
      <c r="C20" s="4" t="s">
        <v>110</v>
      </c>
    </row>
    <row r="21" spans="1:3" x14ac:dyDescent="0.25">
      <c r="A21" s="4">
        <v>292715</v>
      </c>
      <c r="B21" s="4" t="s">
        <v>96</v>
      </c>
      <c r="C21" s="4" t="s">
        <v>110</v>
      </c>
    </row>
    <row r="22" spans="1:3" x14ac:dyDescent="0.25">
      <c r="A22" s="4">
        <v>275886</v>
      </c>
      <c r="B22" s="4" t="s">
        <v>86</v>
      </c>
      <c r="C22" s="4" t="s">
        <v>110</v>
      </c>
    </row>
    <row r="23" spans="1:3" x14ac:dyDescent="0.25">
      <c r="A23" s="4">
        <v>275889</v>
      </c>
      <c r="B23" s="4" t="s">
        <v>72</v>
      </c>
      <c r="C23" s="4" t="s">
        <v>110</v>
      </c>
    </row>
    <row r="24" spans="1:3" x14ac:dyDescent="0.25">
      <c r="A24" s="4">
        <v>285874</v>
      </c>
      <c r="B24" s="4" t="s">
        <v>6</v>
      </c>
      <c r="C24" s="4" t="s">
        <v>110</v>
      </c>
    </row>
    <row r="25" spans="1:3" x14ac:dyDescent="0.25">
      <c r="A25" s="4">
        <v>265980</v>
      </c>
      <c r="B25" s="4" t="s">
        <v>157</v>
      </c>
      <c r="C25" s="5">
        <v>43196</v>
      </c>
    </row>
    <row r="26" spans="1:3" x14ac:dyDescent="0.25">
      <c r="A26" s="4">
        <v>265998</v>
      </c>
      <c r="B26" s="4" t="s">
        <v>141</v>
      </c>
      <c r="C26" s="4" t="s">
        <v>110</v>
      </c>
    </row>
    <row r="27" spans="1:3" x14ac:dyDescent="0.25">
      <c r="A27" s="4">
        <v>226187</v>
      </c>
      <c r="B27" s="4" t="s">
        <v>13</v>
      </c>
      <c r="C27" s="4" t="s">
        <v>110</v>
      </c>
    </row>
    <row r="28" spans="1:3" x14ac:dyDescent="0.25">
      <c r="A28" s="4">
        <v>265985</v>
      </c>
      <c r="B28" s="4" t="s">
        <v>116</v>
      </c>
      <c r="C28" s="4" t="s">
        <v>110</v>
      </c>
    </row>
    <row r="29" spans="1:3" x14ac:dyDescent="0.25">
      <c r="A29" s="4">
        <v>229268</v>
      </c>
      <c r="B29" s="4" t="s">
        <v>85</v>
      </c>
      <c r="C29" s="4" t="s">
        <v>110</v>
      </c>
    </row>
    <row r="30" spans="1:3" x14ac:dyDescent="0.25">
      <c r="A30" s="4">
        <v>292628</v>
      </c>
      <c r="B30" s="4" t="s">
        <v>188</v>
      </c>
      <c r="C30" s="4" t="s">
        <v>110</v>
      </c>
    </row>
    <row r="31" spans="1:3" x14ac:dyDescent="0.25">
      <c r="A31" s="4">
        <v>275894</v>
      </c>
      <c r="B31" s="4" t="s">
        <v>73</v>
      </c>
      <c r="C31" s="4" t="s">
        <v>110</v>
      </c>
    </row>
    <row r="32" spans="1:3" x14ac:dyDescent="0.25">
      <c r="A32" s="4">
        <v>275901</v>
      </c>
      <c r="B32" s="4" t="s">
        <v>75</v>
      </c>
      <c r="C32" s="4" t="s">
        <v>110</v>
      </c>
    </row>
    <row r="33" spans="1:3" x14ac:dyDescent="0.25">
      <c r="A33" s="4">
        <v>283102</v>
      </c>
      <c r="B33" s="4" t="s">
        <v>44</v>
      </c>
      <c r="C33" s="4" t="s">
        <v>110</v>
      </c>
    </row>
    <row r="34" spans="1:3" x14ac:dyDescent="0.25">
      <c r="A34" s="4">
        <v>26515</v>
      </c>
      <c r="B34" s="4" t="s">
        <v>18</v>
      </c>
      <c r="C34" s="4" t="s">
        <v>110</v>
      </c>
    </row>
    <row r="35" spans="1:3" x14ac:dyDescent="0.25">
      <c r="A35" s="4">
        <v>226172</v>
      </c>
      <c r="B35" s="4" t="s">
        <v>101</v>
      </c>
      <c r="C35" s="4" t="s">
        <v>110</v>
      </c>
    </row>
    <row r="36" spans="1:3" x14ac:dyDescent="0.25">
      <c r="A36" s="4">
        <v>264408</v>
      </c>
      <c r="B36" s="4" t="s">
        <v>100</v>
      </c>
      <c r="C36" s="4" t="s">
        <v>110</v>
      </c>
    </row>
    <row r="37" spans="1:3" x14ac:dyDescent="0.25">
      <c r="A37" s="4">
        <v>4270188</v>
      </c>
      <c r="B37" s="4" t="s">
        <v>95</v>
      </c>
      <c r="C37" s="5">
        <v>43192</v>
      </c>
    </row>
    <row r="38" spans="1:3" x14ac:dyDescent="0.25">
      <c r="A38" s="4">
        <v>163207</v>
      </c>
      <c r="B38" s="4" t="s">
        <v>92</v>
      </c>
      <c r="C38" s="4" t="s">
        <v>110</v>
      </c>
    </row>
    <row r="39" spans="1:3" x14ac:dyDescent="0.25">
      <c r="A39" s="4">
        <v>226156</v>
      </c>
      <c r="B39" s="4" t="s">
        <v>59</v>
      </c>
      <c r="C39" s="4" t="s">
        <v>110</v>
      </c>
    </row>
    <row r="40" spans="1:3" x14ac:dyDescent="0.25">
      <c r="A40" s="4">
        <v>266371</v>
      </c>
      <c r="B40" s="4" t="s">
        <v>57</v>
      </c>
      <c r="C40" s="4" t="s">
        <v>110</v>
      </c>
    </row>
    <row r="41" spans="1:3" x14ac:dyDescent="0.25">
      <c r="A41" s="4">
        <v>36789</v>
      </c>
      <c r="B41" s="4" t="s">
        <v>58</v>
      </c>
      <c r="C41" s="4" t="s">
        <v>110</v>
      </c>
    </row>
    <row r="42" spans="1:3" x14ac:dyDescent="0.25">
      <c r="A42" s="4">
        <v>264405</v>
      </c>
      <c r="B42" s="4" t="s">
        <v>102</v>
      </c>
      <c r="C42" s="4" t="s">
        <v>110</v>
      </c>
    </row>
    <row r="43" spans="1:3" x14ac:dyDescent="0.25">
      <c r="A43" s="4">
        <v>275905</v>
      </c>
      <c r="B43" s="4" t="s">
        <v>80</v>
      </c>
      <c r="C43" s="4" t="s">
        <v>110</v>
      </c>
    </row>
    <row r="44" spans="1:3" x14ac:dyDescent="0.25">
      <c r="A44" s="4">
        <v>55404</v>
      </c>
      <c r="B44" s="4" t="s">
        <v>79</v>
      </c>
      <c r="C44" s="4" t="s">
        <v>110</v>
      </c>
    </row>
    <row r="45" spans="1:3" x14ac:dyDescent="0.25">
      <c r="A45" s="4">
        <v>198440</v>
      </c>
      <c r="B45" s="4" t="s">
        <v>78</v>
      </c>
      <c r="C45" s="4" t="s">
        <v>110</v>
      </c>
    </row>
    <row r="46" spans="1:3" x14ac:dyDescent="0.25">
      <c r="A46" s="4">
        <v>275893</v>
      </c>
      <c r="B46" s="4" t="s">
        <v>74</v>
      </c>
      <c r="C46" s="4" t="s">
        <v>110</v>
      </c>
    </row>
    <row r="47" spans="1:3" x14ac:dyDescent="0.25">
      <c r="A47" s="4">
        <v>33559</v>
      </c>
      <c r="B47" s="4" t="s">
        <v>68</v>
      </c>
      <c r="C47" s="4" t="s">
        <v>110</v>
      </c>
    </row>
    <row r="48" spans="1:3" x14ac:dyDescent="0.25">
      <c r="A48" s="4">
        <v>271934</v>
      </c>
      <c r="B48" s="4" t="s">
        <v>130</v>
      </c>
      <c r="C48" s="4" t="s">
        <v>110</v>
      </c>
    </row>
    <row r="49" spans="1:3" x14ac:dyDescent="0.25">
      <c r="A49" s="4">
        <v>265994</v>
      </c>
      <c r="B49" s="4" t="s">
        <v>84</v>
      </c>
      <c r="C49" s="4" t="s">
        <v>110</v>
      </c>
    </row>
    <row r="50" spans="1:3" x14ac:dyDescent="0.25">
      <c r="A50" s="4">
        <v>4293036</v>
      </c>
      <c r="B50" s="4" t="s">
        <v>193</v>
      </c>
      <c r="C50" s="4" t="s">
        <v>110</v>
      </c>
    </row>
    <row r="51" spans="1:3" x14ac:dyDescent="0.25">
      <c r="A51" s="4">
        <v>285902</v>
      </c>
      <c r="B51" s="4" t="s">
        <v>29</v>
      </c>
      <c r="C51" s="4" t="s">
        <v>110</v>
      </c>
    </row>
    <row r="52" spans="1:3" x14ac:dyDescent="0.25">
      <c r="A52" s="4">
        <v>279953</v>
      </c>
      <c r="B52" s="4" t="s">
        <v>104</v>
      </c>
      <c r="C52" s="4" t="s">
        <v>110</v>
      </c>
    </row>
    <row r="53" spans="1:3" x14ac:dyDescent="0.25">
      <c r="A53" s="4">
        <v>261996</v>
      </c>
      <c r="B53" s="4" t="s">
        <v>77</v>
      </c>
      <c r="C53" s="4" t="s">
        <v>110</v>
      </c>
    </row>
    <row r="54" spans="1:3" x14ac:dyDescent="0.25">
      <c r="A54" s="4">
        <v>265981</v>
      </c>
      <c r="B54" s="4" t="s">
        <v>81</v>
      </c>
      <c r="C54" s="4" t="s">
        <v>110</v>
      </c>
    </row>
    <row r="55" spans="1:3" x14ac:dyDescent="0.25">
      <c r="A55" s="4">
        <v>226175</v>
      </c>
      <c r="B55" s="4" t="s">
        <v>24</v>
      </c>
      <c r="C55" s="4" t="s">
        <v>110</v>
      </c>
    </row>
    <row r="56" spans="1:3" x14ac:dyDescent="0.25">
      <c r="A56" s="4">
        <v>26498</v>
      </c>
      <c r="B56" s="4" t="s">
        <v>169</v>
      </c>
      <c r="C56" s="4" t="s">
        <v>110</v>
      </c>
    </row>
    <row r="57" spans="1:3" x14ac:dyDescent="0.25">
      <c r="A57" s="4">
        <v>16047</v>
      </c>
      <c r="B57" s="4" t="s">
        <v>161</v>
      </c>
      <c r="C57" s="4" t="s">
        <v>110</v>
      </c>
    </row>
    <row r="58" spans="1:3" x14ac:dyDescent="0.25">
      <c r="A58" s="4">
        <v>285908</v>
      </c>
      <c r="B58" s="4" t="s">
        <v>151</v>
      </c>
      <c r="C58" s="4" t="s">
        <v>110</v>
      </c>
    </row>
    <row r="59" spans="1:3" x14ac:dyDescent="0.25">
      <c r="A59" s="4">
        <v>285910</v>
      </c>
      <c r="B59" s="4" t="s">
        <v>106</v>
      </c>
      <c r="C59" s="4" t="s">
        <v>110</v>
      </c>
    </row>
    <row r="60" spans="1:3" x14ac:dyDescent="0.25">
      <c r="A60" s="4">
        <v>16002</v>
      </c>
      <c r="B60" s="4" t="s">
        <v>33</v>
      </c>
      <c r="C60" s="4" t="s">
        <v>110</v>
      </c>
    </row>
    <row r="61" spans="1:3" x14ac:dyDescent="0.25">
      <c r="A61" s="4">
        <v>264601</v>
      </c>
      <c r="B61" s="4" t="s">
        <v>83</v>
      </c>
      <c r="C61" s="4" t="s">
        <v>110</v>
      </c>
    </row>
    <row r="62" spans="1:3" x14ac:dyDescent="0.25">
      <c r="A62" s="4">
        <v>285822</v>
      </c>
      <c r="B62" s="4" t="s">
        <v>42</v>
      </c>
      <c r="C62" s="5">
        <v>43259</v>
      </c>
    </row>
    <row r="63" spans="1:3" x14ac:dyDescent="0.25">
      <c r="A63" s="4">
        <v>285889</v>
      </c>
      <c r="B63" s="4" t="s">
        <v>40</v>
      </c>
      <c r="C63" s="4" t="s">
        <v>110</v>
      </c>
    </row>
    <row r="64" spans="1:3" x14ac:dyDescent="0.25">
      <c r="A64" s="4">
        <v>285843</v>
      </c>
      <c r="B64" s="4" t="s">
        <v>45</v>
      </c>
      <c r="C64" s="4" t="s">
        <v>110</v>
      </c>
    </row>
    <row r="65" spans="1:3" x14ac:dyDescent="0.25">
      <c r="A65" s="4">
        <v>16052</v>
      </c>
      <c r="B65" s="4" t="s">
        <v>23</v>
      </c>
      <c r="C65" s="4" t="s">
        <v>110</v>
      </c>
    </row>
    <row r="66" spans="1:3" x14ac:dyDescent="0.25">
      <c r="A66" s="4">
        <v>292745</v>
      </c>
      <c r="B66" s="4" t="s">
        <v>55</v>
      </c>
      <c r="C66" s="4" t="s">
        <v>110</v>
      </c>
    </row>
    <row r="67" spans="1:3" x14ac:dyDescent="0.25">
      <c r="A67" s="4">
        <v>275928</v>
      </c>
      <c r="B67" s="4" t="s">
        <v>9</v>
      </c>
      <c r="C67" s="4" t="s">
        <v>110</v>
      </c>
    </row>
    <row r="68" spans="1:3" x14ac:dyDescent="0.25">
      <c r="A68" s="4">
        <v>233945</v>
      </c>
      <c r="B68" s="4" t="s">
        <v>132</v>
      </c>
      <c r="C68" s="4" t="s">
        <v>110</v>
      </c>
    </row>
    <row r="69" spans="1:3" x14ac:dyDescent="0.25">
      <c r="A69" s="4">
        <v>229266</v>
      </c>
      <c r="B69" s="4" t="s">
        <v>28</v>
      </c>
      <c r="C69" s="5">
        <v>43280</v>
      </c>
    </row>
    <row r="70" spans="1:3" x14ac:dyDescent="0.25">
      <c r="A70" s="4">
        <v>26502</v>
      </c>
      <c r="B70" s="4" t="s">
        <v>15</v>
      </c>
      <c r="C70" s="4" t="s">
        <v>110</v>
      </c>
    </row>
    <row r="71" spans="1:3" x14ac:dyDescent="0.25">
      <c r="A71" s="4">
        <v>226185</v>
      </c>
      <c r="B71" s="4" t="s">
        <v>3</v>
      </c>
      <c r="C71" s="4" t="s">
        <v>110</v>
      </c>
    </row>
    <row r="72" spans="1:3" x14ac:dyDescent="0.25">
      <c r="A72" s="4">
        <v>285890</v>
      </c>
      <c r="B72" s="4" t="s">
        <v>4</v>
      </c>
      <c r="C72" s="4" t="s">
        <v>110</v>
      </c>
    </row>
    <row r="73" spans="1:3" x14ac:dyDescent="0.25">
      <c r="A73" s="4">
        <v>285896</v>
      </c>
      <c r="B73" s="4" t="s">
        <v>41</v>
      </c>
      <c r="C73" s="5">
        <v>43192</v>
      </c>
    </row>
    <row r="74" spans="1:3" x14ac:dyDescent="0.25">
      <c r="A74" s="4">
        <v>264600</v>
      </c>
      <c r="B74" s="4" t="s">
        <v>21</v>
      </c>
      <c r="C74" s="5">
        <v>43259</v>
      </c>
    </row>
    <row r="75" spans="1:3" x14ac:dyDescent="0.25">
      <c r="A75" s="4">
        <v>275912</v>
      </c>
      <c r="B75" s="4" t="s">
        <v>91</v>
      </c>
      <c r="C75" s="4" t="s">
        <v>110</v>
      </c>
    </row>
    <row r="76" spans="1:3" x14ac:dyDescent="0.25">
      <c r="A76" s="4">
        <v>264402</v>
      </c>
      <c r="B76" s="4" t="s">
        <v>35</v>
      </c>
      <c r="C76" s="4" t="s">
        <v>110</v>
      </c>
    </row>
    <row r="77" spans="1:3" x14ac:dyDescent="0.25">
      <c r="A77" s="4">
        <v>262000</v>
      </c>
      <c r="B77" s="4" t="s">
        <v>154</v>
      </c>
      <c r="C77" s="5">
        <v>43240</v>
      </c>
    </row>
    <row r="78" spans="1:3" x14ac:dyDescent="0.25">
      <c r="A78" s="4">
        <v>207630</v>
      </c>
      <c r="B78" s="4" t="s">
        <v>128</v>
      </c>
      <c r="C78" s="4" t="s">
        <v>110</v>
      </c>
    </row>
    <row r="79" spans="1:3" x14ac:dyDescent="0.25">
      <c r="A79" s="4">
        <v>4288060</v>
      </c>
      <c r="B79" s="4" t="s">
        <v>76</v>
      </c>
      <c r="C79" s="5">
        <v>43221</v>
      </c>
    </row>
    <row r="80" spans="1:3" x14ac:dyDescent="0.25">
      <c r="A80" s="4">
        <v>292840</v>
      </c>
      <c r="B80" s="4" t="s">
        <v>67</v>
      </c>
      <c r="C80" s="4" t="s">
        <v>110</v>
      </c>
    </row>
    <row r="81" spans="1:3" x14ac:dyDescent="0.25">
      <c r="A81" s="4">
        <v>288317</v>
      </c>
      <c r="B81" s="4" t="s">
        <v>51</v>
      </c>
      <c r="C81" s="4" t="s">
        <v>110</v>
      </c>
    </row>
    <row r="82" spans="1:3" x14ac:dyDescent="0.25">
      <c r="A82" s="4">
        <v>285882</v>
      </c>
      <c r="B82" s="4" t="s">
        <v>43</v>
      </c>
      <c r="C82" s="4" t="s">
        <v>110</v>
      </c>
    </row>
    <row r="83" spans="1:3" x14ac:dyDescent="0.25">
      <c r="A83" s="4">
        <v>193258</v>
      </c>
      <c r="B83" s="4" t="s">
        <v>56</v>
      </c>
      <c r="C83" s="4" t="s">
        <v>110</v>
      </c>
    </row>
    <row r="84" spans="1:3" x14ac:dyDescent="0.25">
      <c r="A84" s="4">
        <v>4288068</v>
      </c>
      <c r="B84" s="4" t="s">
        <v>187</v>
      </c>
      <c r="C84" s="4" t="s">
        <v>110</v>
      </c>
    </row>
    <row r="85" spans="1:3" x14ac:dyDescent="0.25">
      <c r="A85" s="4">
        <v>4288132</v>
      </c>
      <c r="B85" s="4" t="s">
        <v>189</v>
      </c>
      <c r="C85" s="5">
        <v>43208</v>
      </c>
    </row>
    <row r="86" spans="1:3" x14ac:dyDescent="0.25">
      <c r="A86" s="4">
        <v>261986</v>
      </c>
      <c r="B86" s="4" t="s">
        <v>99</v>
      </c>
      <c r="C86" s="4" t="s">
        <v>110</v>
      </c>
    </row>
    <row r="87" spans="1:3" x14ac:dyDescent="0.25">
      <c r="A87" s="4">
        <v>275896</v>
      </c>
      <c r="B87" s="4" t="s">
        <v>65</v>
      </c>
      <c r="C87" s="4" t="s">
        <v>110</v>
      </c>
    </row>
    <row r="88" spans="1:3" x14ac:dyDescent="0.25">
      <c r="A88" s="4">
        <v>275914</v>
      </c>
      <c r="B88" s="4" t="s">
        <v>63</v>
      </c>
      <c r="C88" s="4" t="s">
        <v>110</v>
      </c>
    </row>
    <row r="89" spans="1:3" x14ac:dyDescent="0.25">
      <c r="A89" s="4">
        <v>292736</v>
      </c>
      <c r="B89" s="4" t="s">
        <v>71</v>
      </c>
      <c r="C89" s="4" t="s">
        <v>110</v>
      </c>
    </row>
    <row r="90" spans="1:3" x14ac:dyDescent="0.25">
      <c r="A90" s="4">
        <v>229290</v>
      </c>
      <c r="B90" s="4" t="s">
        <v>70</v>
      </c>
      <c r="C90" s="4" t="s">
        <v>110</v>
      </c>
    </row>
    <row r="91" spans="1:3" x14ac:dyDescent="0.25">
      <c r="A91" s="4">
        <v>292478</v>
      </c>
      <c r="B91" s="4" t="s">
        <v>66</v>
      </c>
      <c r="C91" s="4" t="s">
        <v>110</v>
      </c>
    </row>
    <row r="92" spans="1:3" x14ac:dyDescent="0.25">
      <c r="A92" s="4">
        <v>285879</v>
      </c>
      <c r="B92" s="4" t="s">
        <v>64</v>
      </c>
      <c r="C92" s="4" t="s">
        <v>110</v>
      </c>
    </row>
    <row r="93" spans="1:3" x14ac:dyDescent="0.25">
      <c r="A93" s="4">
        <v>40687</v>
      </c>
      <c r="B93" s="4" t="s">
        <v>61</v>
      </c>
      <c r="C93" s="4" t="s">
        <v>110</v>
      </c>
    </row>
    <row r="94" spans="1:3" x14ac:dyDescent="0.25">
      <c r="A94" s="4">
        <v>55419</v>
      </c>
      <c r="B94" s="4" t="s">
        <v>153</v>
      </c>
      <c r="C94" s="4" t="s">
        <v>110</v>
      </c>
    </row>
    <row r="95" spans="1:3" x14ac:dyDescent="0.25">
      <c r="A95" s="4">
        <v>261988</v>
      </c>
      <c r="B95" s="4" t="s">
        <v>19</v>
      </c>
      <c r="C95" s="4" t="s">
        <v>110</v>
      </c>
    </row>
    <row r="96" spans="1:3" x14ac:dyDescent="0.25">
      <c r="A96" s="4">
        <v>4288069</v>
      </c>
      <c r="B96" s="4" t="s">
        <v>192</v>
      </c>
      <c r="C96" s="4" t="s">
        <v>110</v>
      </c>
    </row>
    <row r="97" spans="1:3" x14ac:dyDescent="0.25">
      <c r="A97" s="4">
        <v>265997</v>
      </c>
      <c r="B97" s="4" t="s">
        <v>87</v>
      </c>
      <c r="C97" s="4" t="s">
        <v>110</v>
      </c>
    </row>
    <row r="98" spans="1:3" x14ac:dyDescent="0.25">
      <c r="A98" s="4">
        <v>231106</v>
      </c>
      <c r="B98" s="4" t="s">
        <v>148</v>
      </c>
      <c r="C98" s="4" t="s">
        <v>110</v>
      </c>
    </row>
    <row r="99" spans="1:3" x14ac:dyDescent="0.25">
      <c r="A99" s="4">
        <v>265989</v>
      </c>
      <c r="B99" s="4" t="s">
        <v>190</v>
      </c>
      <c r="C99" s="4" t="s">
        <v>110</v>
      </c>
    </row>
    <row r="100" spans="1:3" x14ac:dyDescent="0.25">
      <c r="A100" s="4">
        <v>285915</v>
      </c>
      <c r="B100" s="4" t="s">
        <v>191</v>
      </c>
      <c r="C100" s="4" t="s">
        <v>110</v>
      </c>
    </row>
    <row r="101" spans="1:3" x14ac:dyDescent="0.25">
      <c r="A101" s="4">
        <v>26497</v>
      </c>
      <c r="B101" s="4" t="s">
        <v>120</v>
      </c>
      <c r="C101" s="4" t="s">
        <v>110</v>
      </c>
    </row>
    <row r="102" spans="1:3" x14ac:dyDescent="0.25">
      <c r="A102" s="4">
        <v>264602</v>
      </c>
      <c r="B102" s="4" t="s">
        <v>115</v>
      </c>
      <c r="C102" s="4" t="s">
        <v>110</v>
      </c>
    </row>
    <row r="103" spans="1:3" x14ac:dyDescent="0.25">
      <c r="A103" s="4">
        <v>36802</v>
      </c>
      <c r="B103" s="4" t="s">
        <v>114</v>
      </c>
      <c r="C103" s="4" t="s">
        <v>110</v>
      </c>
    </row>
    <row r="104" spans="1:3" x14ac:dyDescent="0.25">
      <c r="A104" s="4">
        <v>275935</v>
      </c>
      <c r="B104" s="4" t="s">
        <v>90</v>
      </c>
      <c r="C104" s="4" t="s">
        <v>110</v>
      </c>
    </row>
    <row r="105" spans="1:3" x14ac:dyDescent="0.25">
      <c r="A105" s="4">
        <v>275917</v>
      </c>
      <c r="B105" s="4" t="s">
        <v>37</v>
      </c>
      <c r="C105" s="5">
        <v>43224</v>
      </c>
    </row>
    <row r="106" spans="1:3" x14ac:dyDescent="0.25">
      <c r="A106" s="4">
        <v>198493</v>
      </c>
      <c r="B106" s="4" t="s">
        <v>125</v>
      </c>
      <c r="C106" s="4" t="s">
        <v>110</v>
      </c>
    </row>
    <row r="107" spans="1:3" x14ac:dyDescent="0.25">
      <c r="A107" s="4">
        <v>12469</v>
      </c>
      <c r="B107" s="4" t="s">
        <v>119</v>
      </c>
      <c r="C107" s="4" t="s">
        <v>110</v>
      </c>
    </row>
    <row r="108" spans="1:3" x14ac:dyDescent="0.25">
      <c r="A108" s="4">
        <v>275910</v>
      </c>
      <c r="B108" s="4" t="s">
        <v>112</v>
      </c>
      <c r="C108" s="4" t="s">
        <v>110</v>
      </c>
    </row>
    <row r="109" spans="1:3" x14ac:dyDescent="0.25">
      <c r="A109" s="4">
        <v>303594</v>
      </c>
      <c r="B109" s="4" t="s">
        <v>94</v>
      </c>
      <c r="C109" s="5">
        <v>43283</v>
      </c>
    </row>
    <row r="110" spans="1:3" x14ac:dyDescent="0.25">
      <c r="A110" s="4">
        <v>275929</v>
      </c>
      <c r="B110" s="4" t="s">
        <v>12</v>
      </c>
      <c r="C110" s="4" t="s">
        <v>110</v>
      </c>
    </row>
    <row r="111" spans="1:3" x14ac:dyDescent="0.25">
      <c r="A111" s="4">
        <v>283115</v>
      </c>
      <c r="B111" s="4" t="s">
        <v>167</v>
      </c>
      <c r="C111" s="5">
        <v>43284</v>
      </c>
    </row>
    <row r="112" spans="1:3" x14ac:dyDescent="0.25">
      <c r="A112" s="4">
        <v>285914</v>
      </c>
      <c r="B112" s="4" t="s">
        <v>159</v>
      </c>
      <c r="C112" s="4" t="s">
        <v>110</v>
      </c>
    </row>
    <row r="113" spans="1:3" x14ac:dyDescent="0.25">
      <c r="A113" s="4">
        <v>285881</v>
      </c>
      <c r="B113" s="4" t="s">
        <v>158</v>
      </c>
      <c r="C113" s="4" t="s">
        <v>110</v>
      </c>
    </row>
    <row r="114" spans="1:3" x14ac:dyDescent="0.25">
      <c r="A114" s="4">
        <v>261994</v>
      </c>
      <c r="B114" s="4" t="s">
        <v>129</v>
      </c>
      <c r="C114" s="4" t="s">
        <v>110</v>
      </c>
    </row>
    <row r="115" spans="1:3" x14ac:dyDescent="0.25">
      <c r="A115" s="4">
        <v>283116</v>
      </c>
      <c r="B115" s="4" t="s">
        <v>7</v>
      </c>
      <c r="C115" s="4" t="s">
        <v>110</v>
      </c>
    </row>
    <row r="116" spans="1:3" x14ac:dyDescent="0.25">
      <c r="A116" s="4">
        <v>261991</v>
      </c>
      <c r="B116" s="4" t="s">
        <v>26</v>
      </c>
      <c r="C116" s="4" t="s">
        <v>110</v>
      </c>
    </row>
    <row r="117" spans="1:3" x14ac:dyDescent="0.25">
      <c r="A117" s="4">
        <v>264400</v>
      </c>
      <c r="B117" s="4" t="s">
        <v>20</v>
      </c>
      <c r="C117" s="4" t="s">
        <v>110</v>
      </c>
    </row>
    <row r="118" spans="1:3" x14ac:dyDescent="0.25">
      <c r="A118" s="4">
        <v>279962</v>
      </c>
      <c r="B118" s="4" t="s">
        <v>155</v>
      </c>
      <c r="C118" s="4" t="s">
        <v>110</v>
      </c>
    </row>
    <row r="119" spans="1:3" x14ac:dyDescent="0.25">
      <c r="A119" s="4">
        <v>198480</v>
      </c>
      <c r="B119" s="4" t="s">
        <v>139</v>
      </c>
      <c r="C119" s="4" t="s">
        <v>110</v>
      </c>
    </row>
    <row r="120" spans="1:3" x14ac:dyDescent="0.25">
      <c r="A120" s="4">
        <v>36798</v>
      </c>
      <c r="B120" s="4" t="s">
        <v>135</v>
      </c>
      <c r="C120" s="5">
        <v>43262</v>
      </c>
    </row>
    <row r="121" spans="1:3" x14ac:dyDescent="0.25">
      <c r="A121" s="4">
        <v>265982</v>
      </c>
      <c r="B121" s="4" t="s">
        <v>93</v>
      </c>
      <c r="C121" s="4" t="s">
        <v>110</v>
      </c>
    </row>
    <row r="122" spans="1:3" x14ac:dyDescent="0.25">
      <c r="A122" s="4">
        <v>261997</v>
      </c>
      <c r="B122" s="4" t="s">
        <v>10</v>
      </c>
      <c r="C122" s="4" t="s">
        <v>110</v>
      </c>
    </row>
    <row r="123" spans="1:3" x14ac:dyDescent="0.25">
      <c r="A123" s="4">
        <v>285904</v>
      </c>
      <c r="B123" s="4" t="s">
        <v>156</v>
      </c>
      <c r="C123" s="4" t="s">
        <v>110</v>
      </c>
    </row>
    <row r="124" spans="1:3" x14ac:dyDescent="0.25">
      <c r="A124" s="4">
        <v>283104</v>
      </c>
      <c r="B124" s="4" t="s">
        <v>49</v>
      </c>
      <c r="C124" s="4" t="s">
        <v>110</v>
      </c>
    </row>
    <row r="125" spans="1:3" x14ac:dyDescent="0.25">
      <c r="A125" s="4">
        <v>36790</v>
      </c>
      <c r="B125" s="4" t="s">
        <v>2</v>
      </c>
      <c r="C125" s="4" t="s">
        <v>110</v>
      </c>
    </row>
    <row r="126" spans="1:3" x14ac:dyDescent="0.25">
      <c r="A126" s="4">
        <v>292616</v>
      </c>
      <c r="B126" s="4" t="s">
        <v>171</v>
      </c>
      <c r="C126" s="4" t="s">
        <v>110</v>
      </c>
    </row>
    <row r="127" spans="1:3" x14ac:dyDescent="0.25">
      <c r="A127" s="4">
        <v>16021</v>
      </c>
      <c r="B127" s="4" t="s">
        <v>131</v>
      </c>
      <c r="C127" s="4" t="s">
        <v>110</v>
      </c>
    </row>
    <row r="128" spans="1:3" x14ac:dyDescent="0.25">
      <c r="A128" s="4">
        <v>275934</v>
      </c>
      <c r="B128" s="4" t="s">
        <v>127</v>
      </c>
      <c r="C128" s="4" t="s">
        <v>110</v>
      </c>
    </row>
    <row r="129" spans="1:3" x14ac:dyDescent="0.25">
      <c r="A129" s="4">
        <v>292691</v>
      </c>
      <c r="B129" s="4" t="s">
        <v>108</v>
      </c>
      <c r="C129" s="4" t="s">
        <v>110</v>
      </c>
    </row>
    <row r="130" spans="1:3" x14ac:dyDescent="0.25">
      <c r="A130" s="4">
        <v>292752</v>
      </c>
      <c r="B130" s="4" t="s">
        <v>103</v>
      </c>
      <c r="C130" s="4" t="s">
        <v>110</v>
      </c>
    </row>
    <row r="131" spans="1:3" x14ac:dyDescent="0.25">
      <c r="A131" s="4">
        <v>226194</v>
      </c>
      <c r="B131" s="4" t="s">
        <v>34</v>
      </c>
      <c r="C131" s="4" t="s">
        <v>110</v>
      </c>
    </row>
    <row r="132" spans="1:3" x14ac:dyDescent="0.25">
      <c r="A132" s="4">
        <v>292457</v>
      </c>
      <c r="B132" s="4" t="s">
        <v>52</v>
      </c>
      <c r="C132" s="4" t="s">
        <v>110</v>
      </c>
    </row>
    <row r="133" spans="1:3" x14ac:dyDescent="0.25">
      <c r="A133" s="4">
        <v>285883</v>
      </c>
      <c r="B133" s="4" t="s">
        <v>50</v>
      </c>
      <c r="C133" s="4" t="s">
        <v>110</v>
      </c>
    </row>
    <row r="134" spans="1:3" x14ac:dyDescent="0.25">
      <c r="A134" s="4">
        <v>292832</v>
      </c>
      <c r="B134" s="4" t="s">
        <v>48</v>
      </c>
      <c r="C134" s="4" t="s">
        <v>110</v>
      </c>
    </row>
    <row r="135" spans="1:3" x14ac:dyDescent="0.25">
      <c r="A135" s="4">
        <v>16007</v>
      </c>
      <c r="B135" s="4" t="s">
        <v>1</v>
      </c>
      <c r="C135" s="4" t="s">
        <v>110</v>
      </c>
    </row>
    <row r="136" spans="1:3" x14ac:dyDescent="0.25">
      <c r="A136" s="4">
        <v>36807</v>
      </c>
      <c r="B136" s="4" t="s">
        <v>16</v>
      </c>
      <c r="C136" s="4" t="s">
        <v>110</v>
      </c>
    </row>
    <row r="137" spans="1:3" x14ac:dyDescent="0.25">
      <c r="A137" s="4">
        <v>36806</v>
      </c>
      <c r="B137" s="4" t="s">
        <v>14</v>
      </c>
      <c r="C137" s="4" t="s">
        <v>110</v>
      </c>
    </row>
    <row r="138" spans="1:3" x14ac:dyDescent="0.25">
      <c r="A138" s="4">
        <v>271900</v>
      </c>
      <c r="B138" s="4" t="s">
        <v>5</v>
      </c>
      <c r="C138" s="4" t="s">
        <v>110</v>
      </c>
    </row>
    <row r="139" spans="1:3" x14ac:dyDescent="0.25">
      <c r="A139" s="4">
        <v>262001</v>
      </c>
      <c r="B139" s="4" t="s">
        <v>17</v>
      </c>
      <c r="C139" s="4" t="s">
        <v>110</v>
      </c>
    </row>
    <row r="140" spans="1:3" x14ac:dyDescent="0.25">
      <c r="A140" s="4">
        <v>265988</v>
      </c>
      <c r="B140" s="4" t="s">
        <v>53</v>
      </c>
      <c r="C140" s="4" t="s">
        <v>110</v>
      </c>
    </row>
    <row r="141" spans="1:3" x14ac:dyDescent="0.25">
      <c r="A141" s="4">
        <v>261995</v>
      </c>
      <c r="B141" s="4" t="s">
        <v>25</v>
      </c>
      <c r="C141" s="4" t="s">
        <v>110</v>
      </c>
    </row>
    <row r="142" spans="1:3" x14ac:dyDescent="0.25">
      <c r="A142" s="4">
        <v>284491</v>
      </c>
      <c r="B142" s="4" t="s">
        <v>142</v>
      </c>
      <c r="C142" s="4" t="s">
        <v>110</v>
      </c>
    </row>
    <row r="143" spans="1:3" x14ac:dyDescent="0.25">
      <c r="A143" s="4">
        <v>292747</v>
      </c>
      <c r="B143" s="4" t="s">
        <v>140</v>
      </c>
      <c r="C143" s="4" t="s">
        <v>110</v>
      </c>
    </row>
    <row r="144" spans="1:3" x14ac:dyDescent="0.25">
      <c r="A144" s="4">
        <v>193247</v>
      </c>
      <c r="B144" s="4" t="s">
        <v>138</v>
      </c>
      <c r="C144" s="4" t="s">
        <v>110</v>
      </c>
    </row>
    <row r="145" spans="1:3" x14ac:dyDescent="0.25">
      <c r="A145" s="4">
        <v>285917</v>
      </c>
      <c r="B145" s="4" t="s">
        <v>137</v>
      </c>
      <c r="C145" s="4" t="s">
        <v>110</v>
      </c>
    </row>
    <row r="146" spans="1:3" x14ac:dyDescent="0.25">
      <c r="A146" s="4">
        <v>285893</v>
      </c>
      <c r="B146" s="4" t="s">
        <v>123</v>
      </c>
      <c r="C146" s="4" t="s">
        <v>110</v>
      </c>
    </row>
    <row r="147" spans="1:3" x14ac:dyDescent="0.25">
      <c r="A147" s="4">
        <v>229269</v>
      </c>
      <c r="B147" s="4" t="s">
        <v>111</v>
      </c>
      <c r="C147" s="4" t="s">
        <v>110</v>
      </c>
    </row>
    <row r="148" spans="1:3" x14ac:dyDescent="0.25">
      <c r="A148" s="4">
        <v>292838</v>
      </c>
      <c r="B148" s="4" t="s">
        <v>47</v>
      </c>
      <c r="C148" s="4" t="s">
        <v>110</v>
      </c>
    </row>
    <row r="149" spans="1:3" x14ac:dyDescent="0.25">
      <c r="A149" s="4">
        <v>55450</v>
      </c>
      <c r="B149" s="4" t="s">
        <v>36</v>
      </c>
      <c r="C149" s="4" t="s">
        <v>110</v>
      </c>
    </row>
    <row r="150" spans="1:3" x14ac:dyDescent="0.25">
      <c r="A150" s="4">
        <v>285891</v>
      </c>
      <c r="B150" s="4" t="s">
        <v>30</v>
      </c>
      <c r="C150" s="4" t="s">
        <v>110</v>
      </c>
    </row>
    <row r="151" spans="1:3" x14ac:dyDescent="0.25">
      <c r="A151" s="4">
        <v>271904</v>
      </c>
      <c r="B151" s="4" t="s">
        <v>168</v>
      </c>
      <c r="C151" s="4" t="s">
        <v>110</v>
      </c>
    </row>
    <row r="152" spans="1:3" x14ac:dyDescent="0.25">
      <c r="A152" s="4">
        <v>40681</v>
      </c>
      <c r="B152" s="4" t="s">
        <v>162</v>
      </c>
      <c r="C152" s="4" t="s">
        <v>110</v>
      </c>
    </row>
    <row r="153" spans="1:3" x14ac:dyDescent="0.25">
      <c r="A153" s="4">
        <v>229282</v>
      </c>
      <c r="B153" s="4" t="s">
        <v>133</v>
      </c>
      <c r="C153" s="4" t="s">
        <v>110</v>
      </c>
    </row>
    <row r="154" spans="1:3" x14ac:dyDescent="0.25">
      <c r="A154" s="4">
        <v>40688</v>
      </c>
      <c r="B154" s="4" t="s">
        <v>136</v>
      </c>
      <c r="C154" s="4" t="s">
        <v>110</v>
      </c>
    </row>
    <row r="155" spans="1:3" x14ac:dyDescent="0.25">
      <c r="A155" s="4">
        <v>193241</v>
      </c>
      <c r="B155" s="4" t="s">
        <v>134</v>
      </c>
      <c r="C155" s="4" t="s">
        <v>110</v>
      </c>
    </row>
    <row r="156" spans="1:3" x14ac:dyDescent="0.25">
      <c r="A156" s="4">
        <v>206331</v>
      </c>
      <c r="B156" s="4" t="s">
        <v>54</v>
      </c>
      <c r="C156" s="4" t="s">
        <v>110</v>
      </c>
    </row>
    <row r="157" spans="1:3" x14ac:dyDescent="0.25">
      <c r="A157" s="4">
        <v>186231</v>
      </c>
      <c r="B157" s="4" t="s">
        <v>46</v>
      </c>
      <c r="C157" s="4" t="s">
        <v>110</v>
      </c>
    </row>
    <row r="158" spans="1:3" x14ac:dyDescent="0.25">
      <c r="A158" s="4">
        <v>26504</v>
      </c>
      <c r="B158" s="4" t="s">
        <v>38</v>
      </c>
      <c r="C158" s="4" t="s">
        <v>110</v>
      </c>
    </row>
    <row r="159" spans="1:3" x14ac:dyDescent="0.25">
      <c r="A159" s="4">
        <v>265986</v>
      </c>
      <c r="B159" s="4" t="s">
        <v>31</v>
      </c>
      <c r="C159" s="4" t="s">
        <v>110</v>
      </c>
    </row>
    <row r="160" spans="1:3" x14ac:dyDescent="0.25">
      <c r="A160" s="4">
        <v>265978</v>
      </c>
      <c r="B160" s="4" t="s">
        <v>27</v>
      </c>
      <c r="C160" s="4" t="s">
        <v>110</v>
      </c>
    </row>
    <row r="161" spans="1:3" x14ac:dyDescent="0.25">
      <c r="A161" s="4">
        <v>264404</v>
      </c>
      <c r="B161" s="4" t="s">
        <v>186</v>
      </c>
      <c r="C161" s="4" t="s">
        <v>110</v>
      </c>
    </row>
    <row r="162" spans="1:3" x14ac:dyDescent="0.25">
      <c r="A162" s="4">
        <v>226157</v>
      </c>
      <c r="B162" s="4" t="s">
        <v>11</v>
      </c>
      <c r="C162" s="5">
        <v>43245</v>
      </c>
    </row>
    <row r="163" spans="1:3" x14ac:dyDescent="0.25">
      <c r="A163" s="4">
        <v>275904</v>
      </c>
      <c r="B163" s="4" t="s">
        <v>185</v>
      </c>
      <c r="C163" s="4" t="s">
        <v>110</v>
      </c>
    </row>
    <row r="164" spans="1:3" x14ac:dyDescent="0.25">
      <c r="A164" s="4">
        <v>271896</v>
      </c>
      <c r="B164" s="4" t="s">
        <v>126</v>
      </c>
      <c r="C164" s="4" t="s">
        <v>110</v>
      </c>
    </row>
    <row r="165" spans="1:3" x14ac:dyDescent="0.25">
      <c r="A165" s="4">
        <v>275938</v>
      </c>
      <c r="B165" s="4" t="s">
        <v>150</v>
      </c>
      <c r="C165" s="4" t="s">
        <v>110</v>
      </c>
    </row>
    <row r="166" spans="1:3" x14ac:dyDescent="0.25">
      <c r="A166" s="4">
        <v>279956</v>
      </c>
      <c r="B166" s="4" t="s">
        <v>149</v>
      </c>
      <c r="C166" s="4" t="s">
        <v>110</v>
      </c>
    </row>
    <row r="167" spans="1:3" x14ac:dyDescent="0.25">
      <c r="A167" s="4">
        <v>226148</v>
      </c>
      <c r="B167" s="4" t="s">
        <v>152</v>
      </c>
      <c r="C167" s="4" t="s">
        <v>110</v>
      </c>
    </row>
    <row r="168" spans="1:3" x14ac:dyDescent="0.25">
      <c r="A168" s="4">
        <v>264394</v>
      </c>
      <c r="B168" s="4" t="s">
        <v>147</v>
      </c>
      <c r="C168" s="5">
        <v>43262</v>
      </c>
    </row>
    <row r="169" spans="1:3" x14ac:dyDescent="0.25">
      <c r="A169" s="4">
        <v>292689</v>
      </c>
      <c r="B169" s="4" t="s">
        <v>143</v>
      </c>
      <c r="C169" s="4" t="s">
        <v>110</v>
      </c>
    </row>
    <row r="170" spans="1:3" x14ac:dyDescent="0.25">
      <c r="A170" s="4">
        <v>279949</v>
      </c>
      <c r="B170" s="4" t="s">
        <v>145</v>
      </c>
      <c r="C170" s="4" t="s">
        <v>110</v>
      </c>
    </row>
    <row r="171" spans="1:3" x14ac:dyDescent="0.25">
      <c r="A171" s="4">
        <v>206336</v>
      </c>
      <c r="B171" s="4" t="s">
        <v>146</v>
      </c>
      <c r="C171" s="4" t="s">
        <v>110</v>
      </c>
    </row>
    <row r="172" spans="1:3" x14ac:dyDescent="0.25">
      <c r="A172" s="4">
        <v>40680</v>
      </c>
      <c r="B172" s="4" t="s">
        <v>144</v>
      </c>
      <c r="C172" s="4" t="s">
        <v>110</v>
      </c>
    </row>
    <row r="173" spans="1:3" x14ac:dyDescent="0.25">
      <c r="A173" s="4">
        <v>275891</v>
      </c>
      <c r="B173" s="4" t="s">
        <v>124</v>
      </c>
      <c r="C173" s="4" t="s">
        <v>110</v>
      </c>
    </row>
    <row r="174" spans="1:3" x14ac:dyDescent="0.25">
      <c r="A174" s="4">
        <v>277201</v>
      </c>
      <c r="B174" s="4" t="s">
        <v>109</v>
      </c>
      <c r="C174" s="4" t="s">
        <v>110</v>
      </c>
    </row>
    <row r="175" spans="1:3" x14ac:dyDescent="0.25">
      <c r="A175" s="4">
        <v>275887</v>
      </c>
      <c r="B175" s="4" t="s">
        <v>32</v>
      </c>
      <c r="C175" s="4" t="s">
        <v>110</v>
      </c>
    </row>
    <row r="176" spans="1:3" x14ac:dyDescent="0.25">
      <c r="A176" s="4">
        <v>275900</v>
      </c>
      <c r="B176" s="4" t="s">
        <v>88</v>
      </c>
      <c r="C176" s="4" t="s">
        <v>110</v>
      </c>
    </row>
    <row r="177" spans="1:3" x14ac:dyDescent="0.25">
      <c r="A177" s="4">
        <v>271898</v>
      </c>
      <c r="B177" s="4" t="s">
        <v>62</v>
      </c>
      <c r="C177" s="4" t="s">
        <v>110</v>
      </c>
    </row>
    <row r="178" spans="1:3" x14ac:dyDescent="0.25">
      <c r="A178" s="4">
        <v>279955</v>
      </c>
      <c r="B178" s="4" t="s">
        <v>105</v>
      </c>
      <c r="C178" s="4" t="s">
        <v>110</v>
      </c>
    </row>
    <row r="179" spans="1:3" x14ac:dyDescent="0.25">
      <c r="A179" s="4">
        <v>292631</v>
      </c>
      <c r="B179" s="4" t="s">
        <v>107</v>
      </c>
      <c r="C179" s="4" t="s">
        <v>110</v>
      </c>
    </row>
    <row r="180" spans="1:3" x14ac:dyDescent="0.25">
      <c r="A180" s="4">
        <v>292754</v>
      </c>
      <c r="B180" s="4" t="s">
        <v>97</v>
      </c>
      <c r="C180" s="4" t="s">
        <v>110</v>
      </c>
    </row>
    <row r="181" spans="1:3" x14ac:dyDescent="0.25">
      <c r="A181" s="4">
        <v>285877</v>
      </c>
      <c r="B181" s="4" t="s">
        <v>69</v>
      </c>
      <c r="C181" s="5" t="s">
        <v>110</v>
      </c>
    </row>
    <row r="182" spans="1:3" x14ac:dyDescent="0.25">
      <c r="A182" s="4">
        <v>4280273</v>
      </c>
      <c r="B182" s="4" t="s">
        <v>194</v>
      </c>
      <c r="C182" s="4" t="s">
        <v>110</v>
      </c>
    </row>
    <row r="183" spans="1:3" x14ac:dyDescent="0.25">
      <c r="A183" s="4">
        <v>292501</v>
      </c>
      <c r="B183" s="4" t="s">
        <v>210</v>
      </c>
      <c r="C183" s="4" t="s">
        <v>110</v>
      </c>
    </row>
    <row r="184" spans="1:3" x14ac:dyDescent="0.25">
      <c r="A184" s="4">
        <v>4288039</v>
      </c>
      <c r="B184" s="4" t="s">
        <v>211</v>
      </c>
      <c r="C184" s="4" t="s">
        <v>110</v>
      </c>
    </row>
    <row r="185" spans="1:3" x14ac:dyDescent="0.25">
      <c r="A185" s="4">
        <v>292708</v>
      </c>
      <c r="B185" s="4" t="s">
        <v>212</v>
      </c>
      <c r="C185" s="4" t="s">
        <v>110</v>
      </c>
    </row>
    <row r="186" spans="1:3" x14ac:dyDescent="0.25">
      <c r="A186" s="4">
        <v>4288067</v>
      </c>
      <c r="B186" s="4" t="s">
        <v>213</v>
      </c>
      <c r="C186" s="4" t="s">
        <v>110</v>
      </c>
    </row>
    <row r="187" spans="1:3" x14ac:dyDescent="0.25">
      <c r="A187" s="4">
        <v>264403</v>
      </c>
      <c r="B187" s="4" t="s">
        <v>214</v>
      </c>
      <c r="C187" s="4" t="s">
        <v>110</v>
      </c>
    </row>
    <row r="188" spans="1:3" x14ac:dyDescent="0.25">
      <c r="A188" s="4">
        <v>265991</v>
      </c>
      <c r="B188" s="4" t="s">
        <v>215</v>
      </c>
      <c r="C188" s="4" t="s">
        <v>110</v>
      </c>
    </row>
    <row r="189" spans="1:3" x14ac:dyDescent="0.25">
      <c r="A189" s="4">
        <v>275939</v>
      </c>
      <c r="B189" s="4" t="s">
        <v>216</v>
      </c>
      <c r="C189" s="4" t="s">
        <v>110</v>
      </c>
    </row>
    <row r="190" spans="1:3" x14ac:dyDescent="0.25">
      <c r="A190" s="4">
        <v>206333</v>
      </c>
      <c r="B190" s="4" t="s">
        <v>217</v>
      </c>
      <c r="C190" s="4" t="s">
        <v>110</v>
      </c>
    </row>
    <row r="191" spans="1:3" x14ac:dyDescent="0.25">
      <c r="A191" s="4">
        <v>272157</v>
      </c>
      <c r="B191" s="4" t="s">
        <v>218</v>
      </c>
      <c r="C191" s="4" t="s">
        <v>110</v>
      </c>
    </row>
    <row r="192" spans="1:3" x14ac:dyDescent="0.25">
      <c r="A192" s="4">
        <v>4280600</v>
      </c>
      <c r="B192" s="4" t="s">
        <v>219</v>
      </c>
      <c r="C192" s="4" t="s">
        <v>110</v>
      </c>
    </row>
    <row r="193" spans="1:3" x14ac:dyDescent="0.25">
      <c r="A193" s="4">
        <v>4288053</v>
      </c>
      <c r="B193" s="4" t="s">
        <v>220</v>
      </c>
      <c r="C193" s="4" t="s">
        <v>110</v>
      </c>
    </row>
    <row r="194" spans="1:3" x14ac:dyDescent="0.25">
      <c r="A194" s="4">
        <v>55440</v>
      </c>
      <c r="B194" s="4" t="s">
        <v>221</v>
      </c>
      <c r="C194" s="5">
        <v>43208</v>
      </c>
    </row>
    <row r="195" spans="1:3" x14ac:dyDescent="0.25">
      <c r="A195" s="4">
        <v>40673</v>
      </c>
      <c r="B195" s="4" t="s">
        <v>222</v>
      </c>
      <c r="C195" s="4" t="s">
        <v>110</v>
      </c>
    </row>
    <row r="196" spans="1:3" x14ac:dyDescent="0.25">
      <c r="A196" s="4">
        <v>36792</v>
      </c>
      <c r="B196" s="4" t="s">
        <v>223</v>
      </c>
      <c r="C196" s="4" t="s">
        <v>110</v>
      </c>
    </row>
    <row r="197" spans="1:3" x14ac:dyDescent="0.25">
      <c r="A197" s="4">
        <v>186228</v>
      </c>
      <c r="B197" s="4" t="s">
        <v>224</v>
      </c>
      <c r="C197" s="4" t="s">
        <v>110</v>
      </c>
    </row>
    <row r="198" spans="1:3" x14ac:dyDescent="0.25">
      <c r="A198" s="4">
        <v>26501</v>
      </c>
      <c r="B198" s="4" t="s">
        <v>225</v>
      </c>
      <c r="C198" s="4" t="s">
        <v>110</v>
      </c>
    </row>
    <row r="199" spans="1:3" x14ac:dyDescent="0.25">
      <c r="A199" s="4">
        <v>226167</v>
      </c>
      <c r="B199" s="4" t="s">
        <v>226</v>
      </c>
      <c r="C199" s="4" t="s">
        <v>110</v>
      </c>
    </row>
    <row r="200" spans="1:3" x14ac:dyDescent="0.25">
      <c r="A200" s="4">
        <v>226178</v>
      </c>
      <c r="B200" s="4" t="s">
        <v>227</v>
      </c>
      <c r="C200" s="4" t="s">
        <v>110</v>
      </c>
    </row>
    <row r="201" spans="1:3" x14ac:dyDescent="0.25">
      <c r="A201" s="4">
        <v>264397</v>
      </c>
      <c r="B201" s="4" t="s">
        <v>228</v>
      </c>
      <c r="C201" s="4" t="s">
        <v>110</v>
      </c>
    </row>
    <row r="202" spans="1:3" x14ac:dyDescent="0.25">
      <c r="A202" s="4">
        <v>261998</v>
      </c>
      <c r="B202" s="4" t="s">
        <v>229</v>
      </c>
      <c r="C202" s="4" t="s">
        <v>110</v>
      </c>
    </row>
    <row r="203" spans="1:3" x14ac:dyDescent="0.25">
      <c r="A203" s="4">
        <v>26508</v>
      </c>
      <c r="B203" s="4" t="s">
        <v>230</v>
      </c>
      <c r="C203" s="4" t="s">
        <v>110</v>
      </c>
    </row>
    <row r="204" spans="1:3" x14ac:dyDescent="0.25">
      <c r="A204" s="4">
        <v>55420</v>
      </c>
      <c r="B204" s="4" t="s">
        <v>231</v>
      </c>
      <c r="C204" s="4" t="s">
        <v>110</v>
      </c>
    </row>
    <row r="205" spans="1:3" x14ac:dyDescent="0.25">
      <c r="A205" s="4">
        <v>55401</v>
      </c>
      <c r="B205" s="4" t="s">
        <v>232</v>
      </c>
      <c r="C205" s="4" t="s">
        <v>110</v>
      </c>
    </row>
    <row r="206" spans="1:3" x14ac:dyDescent="0.25">
      <c r="A206" s="4">
        <v>275916</v>
      </c>
      <c r="B206" s="4" t="s">
        <v>233</v>
      </c>
      <c r="C206" s="4" t="s">
        <v>110</v>
      </c>
    </row>
    <row r="207" spans="1:3" x14ac:dyDescent="0.25">
      <c r="A207" s="4">
        <v>40682</v>
      </c>
      <c r="B207" s="4" t="s">
        <v>234</v>
      </c>
      <c r="C207" s="4" t="s">
        <v>110</v>
      </c>
    </row>
    <row r="208" spans="1:3" x14ac:dyDescent="0.25">
      <c r="A208" s="4">
        <v>193261</v>
      </c>
      <c r="B208" s="4" t="s">
        <v>235</v>
      </c>
      <c r="C208" s="4" t="s">
        <v>110</v>
      </c>
    </row>
    <row r="209" spans="1:3" x14ac:dyDescent="0.25">
      <c r="A209" s="4">
        <v>173172</v>
      </c>
      <c r="B209" s="4" t="s">
        <v>236</v>
      </c>
      <c r="C209" s="4" t="s">
        <v>110</v>
      </c>
    </row>
    <row r="210" spans="1:3" x14ac:dyDescent="0.25">
      <c r="A210" s="4">
        <v>12474</v>
      </c>
      <c r="B210" s="4" t="s">
        <v>237</v>
      </c>
      <c r="C210" s="4" t="s">
        <v>110</v>
      </c>
    </row>
    <row r="211" spans="1:3" x14ac:dyDescent="0.25">
      <c r="A211" s="4">
        <v>182554</v>
      </c>
      <c r="B211" s="4" t="s">
        <v>238</v>
      </c>
      <c r="C211" s="4" t="s">
        <v>110</v>
      </c>
    </row>
    <row r="212" spans="1:3" x14ac:dyDescent="0.25">
      <c r="A212" s="4">
        <v>173209</v>
      </c>
      <c r="B212" s="4" t="s">
        <v>239</v>
      </c>
      <c r="C212" s="5">
        <v>43208</v>
      </c>
    </row>
    <row r="213" spans="1:3" x14ac:dyDescent="0.25">
      <c r="A213" s="4">
        <v>193246</v>
      </c>
      <c r="B213" s="4" t="s">
        <v>240</v>
      </c>
      <c r="C213" s="4" t="s">
        <v>110</v>
      </c>
    </row>
    <row r="214" spans="1:3" x14ac:dyDescent="0.25">
      <c r="A214" s="4">
        <v>36805</v>
      </c>
      <c r="B214" s="4" t="s">
        <v>241</v>
      </c>
      <c r="C214" s="4" t="s">
        <v>110</v>
      </c>
    </row>
    <row r="215" spans="1:3" x14ac:dyDescent="0.25">
      <c r="A215" s="4">
        <v>231763</v>
      </c>
      <c r="B215" s="4" t="s">
        <v>242</v>
      </c>
      <c r="C215" s="4" t="s">
        <v>110</v>
      </c>
    </row>
    <row r="216" spans="1:3" x14ac:dyDescent="0.25">
      <c r="A216" s="4">
        <v>4288070</v>
      </c>
      <c r="B216" s="4" t="s">
        <v>243</v>
      </c>
      <c r="C216" s="4" t="s">
        <v>110</v>
      </c>
    </row>
    <row r="217" spans="1:3" x14ac:dyDescent="0.25">
      <c r="A217" s="4">
        <v>307360</v>
      </c>
      <c r="B217" s="4" t="s">
        <v>245</v>
      </c>
      <c r="C217" s="5">
        <v>43207</v>
      </c>
    </row>
    <row r="218" spans="1:3" x14ac:dyDescent="0.25">
      <c r="A218" s="4">
        <v>4288072</v>
      </c>
      <c r="B218" s="4" t="s">
        <v>246</v>
      </c>
      <c r="C218" s="4" t="s">
        <v>110</v>
      </c>
    </row>
    <row r="219" spans="1:3" x14ac:dyDescent="0.25">
      <c r="A219" s="4">
        <v>4280556</v>
      </c>
      <c r="B219" s="4" t="s">
        <v>247</v>
      </c>
      <c r="C219" s="4" t="s">
        <v>110</v>
      </c>
    </row>
    <row r="220" spans="1:3" x14ac:dyDescent="0.25">
      <c r="A220" s="4">
        <v>4270246</v>
      </c>
      <c r="B220" s="4" t="s">
        <v>249</v>
      </c>
      <c r="C220" s="4" t="s">
        <v>110</v>
      </c>
    </row>
    <row r="221" spans="1:3" x14ac:dyDescent="0.25">
      <c r="A221" s="4">
        <v>51630</v>
      </c>
      <c r="B221" s="4" t="s">
        <v>250</v>
      </c>
      <c r="C221" s="4" t="s">
        <v>110</v>
      </c>
    </row>
    <row r="222" spans="1:3" x14ac:dyDescent="0.25">
      <c r="A222" s="4">
        <v>288408</v>
      </c>
      <c r="B222" s="4" t="s">
        <v>251</v>
      </c>
      <c r="C222" s="4" t="s">
        <v>110</v>
      </c>
    </row>
    <row r="223" spans="1:3" x14ac:dyDescent="0.25">
      <c r="A223" s="4">
        <v>22932</v>
      </c>
      <c r="B223" s="4" t="s">
        <v>253</v>
      </c>
      <c r="C223" s="4" t="s">
        <v>110</v>
      </c>
    </row>
    <row r="224" spans="1:3" x14ac:dyDescent="0.25">
      <c r="A224" s="4">
        <v>143937</v>
      </c>
      <c r="B224" s="4" t="s">
        <v>254</v>
      </c>
      <c r="C224" s="4" t="s">
        <v>110</v>
      </c>
    </row>
    <row r="225" spans="1:3" x14ac:dyDescent="0.25">
      <c r="A225" s="4">
        <v>4277729</v>
      </c>
      <c r="B225" s="4" t="s">
        <v>255</v>
      </c>
      <c r="C225" s="4" t="s">
        <v>110</v>
      </c>
    </row>
    <row r="226" spans="1:3" x14ac:dyDescent="0.25">
      <c r="A226" s="4">
        <v>3785143</v>
      </c>
      <c r="B226" s="4" t="s">
        <v>258</v>
      </c>
      <c r="C226" s="4" t="s">
        <v>110</v>
      </c>
    </row>
    <row r="227" spans="1:3" x14ac:dyDescent="0.25">
      <c r="A227" s="4">
        <v>179129</v>
      </c>
      <c r="B227" s="4" t="s">
        <v>259</v>
      </c>
      <c r="C227" s="4" t="s">
        <v>110</v>
      </c>
    </row>
    <row r="228" spans="1:3" x14ac:dyDescent="0.25">
      <c r="A228" s="4">
        <v>4581180</v>
      </c>
      <c r="B228" s="4" t="s">
        <v>261</v>
      </c>
      <c r="C228" s="4" t="s">
        <v>110</v>
      </c>
    </row>
    <row r="229" spans="1:3" x14ac:dyDescent="0.25">
      <c r="A229" s="4">
        <v>4581265</v>
      </c>
      <c r="B229" s="4" t="s">
        <v>262</v>
      </c>
      <c r="C229" s="4" t="s">
        <v>110</v>
      </c>
    </row>
    <row r="230" spans="1:3" x14ac:dyDescent="0.25">
      <c r="A230" s="4">
        <v>4581267</v>
      </c>
      <c r="B230" s="4" t="s">
        <v>263</v>
      </c>
      <c r="C230" s="4" t="s">
        <v>110</v>
      </c>
    </row>
    <row r="231" spans="1:3" x14ac:dyDescent="0.25">
      <c r="A231" s="4">
        <v>4581309</v>
      </c>
      <c r="B231" s="4" t="s">
        <v>264</v>
      </c>
      <c r="C231" s="4" t="s">
        <v>110</v>
      </c>
    </row>
    <row r="232" spans="1:3" x14ac:dyDescent="0.25">
      <c r="A232" s="4">
        <v>4581310</v>
      </c>
      <c r="B232" s="4" t="s">
        <v>265</v>
      </c>
      <c r="C232" s="4" t="s">
        <v>110</v>
      </c>
    </row>
    <row r="233" spans="1:3" x14ac:dyDescent="0.25">
      <c r="A233" s="4">
        <v>4581311</v>
      </c>
      <c r="B233" s="4" t="s">
        <v>266</v>
      </c>
      <c r="C233" s="4" t="s">
        <v>110</v>
      </c>
    </row>
    <row r="234" spans="1:3" x14ac:dyDescent="0.25">
      <c r="A234" s="4">
        <v>4581313</v>
      </c>
      <c r="B234" s="4" t="s">
        <v>267</v>
      </c>
      <c r="C234" s="4" t="s">
        <v>110</v>
      </c>
    </row>
    <row r="235" spans="1:3" x14ac:dyDescent="0.25">
      <c r="A235" s="4">
        <v>4581314</v>
      </c>
      <c r="B235" s="4" t="s">
        <v>268</v>
      </c>
      <c r="C235" s="4" t="s">
        <v>110</v>
      </c>
    </row>
    <row r="236" spans="1:3" x14ac:dyDescent="0.25">
      <c r="A236" s="4">
        <v>4581315</v>
      </c>
      <c r="B236" s="4" t="s">
        <v>269</v>
      </c>
      <c r="C236" s="4" t="s">
        <v>110</v>
      </c>
    </row>
    <row r="237" spans="1:3" x14ac:dyDescent="0.25">
      <c r="A237" s="4">
        <v>4581316</v>
      </c>
      <c r="B237" s="4" t="s">
        <v>270</v>
      </c>
      <c r="C237" s="4" t="s">
        <v>110</v>
      </c>
    </row>
    <row r="238" spans="1:3" x14ac:dyDescent="0.25">
      <c r="A238" s="4">
        <v>4582769</v>
      </c>
      <c r="B238" s="4" t="s">
        <v>271</v>
      </c>
      <c r="C238" s="4" t="s">
        <v>110</v>
      </c>
    </row>
    <row r="239" spans="1:3" x14ac:dyDescent="0.25">
      <c r="A239" s="4">
        <v>4587590</v>
      </c>
      <c r="B239" s="4" t="s">
        <v>272</v>
      </c>
      <c r="C239" s="4" t="s">
        <v>110</v>
      </c>
    </row>
    <row r="240" spans="1:3" x14ac:dyDescent="0.25">
      <c r="A240" s="4">
        <v>4581458</v>
      </c>
      <c r="B240" s="4" t="s">
        <v>273</v>
      </c>
      <c r="C240" s="4" t="s">
        <v>110</v>
      </c>
    </row>
    <row r="241" spans="1:3" x14ac:dyDescent="0.25">
      <c r="A241" s="4">
        <v>4581459</v>
      </c>
      <c r="B241" s="4" t="s">
        <v>274</v>
      </c>
      <c r="C241" s="4" t="s">
        <v>110</v>
      </c>
    </row>
    <row r="242" spans="1:3" x14ac:dyDescent="0.25">
      <c r="A242" s="4">
        <v>4581460</v>
      </c>
      <c r="B242" s="4" t="s">
        <v>275</v>
      </c>
      <c r="C242" s="4" t="s">
        <v>110</v>
      </c>
    </row>
    <row r="243" spans="1:3" x14ac:dyDescent="0.25">
      <c r="A243" s="4">
        <v>4581520</v>
      </c>
      <c r="B243" s="4" t="s">
        <v>276</v>
      </c>
      <c r="C243" s="4" t="s">
        <v>110</v>
      </c>
    </row>
    <row r="244" spans="1:3" x14ac:dyDescent="0.25">
      <c r="A244" s="4">
        <v>284018</v>
      </c>
      <c r="B244" s="4" t="s">
        <v>280</v>
      </c>
      <c r="C244" s="4" t="s">
        <v>110</v>
      </c>
    </row>
    <row r="245" spans="1:3" x14ac:dyDescent="0.25">
      <c r="A245" s="4">
        <v>182549</v>
      </c>
      <c r="B245" s="4" t="s">
        <v>281</v>
      </c>
      <c r="C245" s="4" t="s">
        <v>110</v>
      </c>
    </row>
    <row r="246" spans="1:3" x14ac:dyDescent="0.25">
      <c r="A246" s="4">
        <v>286300</v>
      </c>
      <c r="B246" s="4" t="s">
        <v>282</v>
      </c>
      <c r="C246" s="4" t="s">
        <v>110</v>
      </c>
    </row>
    <row r="247" spans="1:3" x14ac:dyDescent="0.25">
      <c r="A247" s="4">
        <v>309733</v>
      </c>
      <c r="B247" s="4" t="s">
        <v>288</v>
      </c>
      <c r="C247" s="4" t="s">
        <v>110</v>
      </c>
    </row>
    <row r="248" spans="1:3" x14ac:dyDescent="0.25">
      <c r="A248" s="4">
        <v>4277589</v>
      </c>
      <c r="B248" s="4" t="s">
        <v>289</v>
      </c>
      <c r="C248" s="4" t="s">
        <v>110</v>
      </c>
    </row>
    <row r="249" spans="1:3" x14ac:dyDescent="0.25">
      <c r="A249" s="4">
        <v>283176</v>
      </c>
      <c r="B249" s="4" t="s">
        <v>290</v>
      </c>
      <c r="C249" s="4" t="s">
        <v>110</v>
      </c>
    </row>
    <row r="250" spans="1:3" x14ac:dyDescent="0.25">
      <c r="A250" s="4">
        <v>309784</v>
      </c>
      <c r="B250" s="4" t="s">
        <v>291</v>
      </c>
      <c r="C250" s="4" t="s">
        <v>110</v>
      </c>
    </row>
    <row r="251" spans="1:3" x14ac:dyDescent="0.25">
      <c r="A251" s="4">
        <v>309815</v>
      </c>
      <c r="B251" s="4" t="s">
        <v>292</v>
      </c>
      <c r="C251" s="4" t="s">
        <v>110</v>
      </c>
    </row>
    <row r="252" spans="1:3" x14ac:dyDescent="0.25">
      <c r="A252" s="4">
        <v>284197</v>
      </c>
      <c r="B252" s="4" t="s">
        <v>293</v>
      </c>
      <c r="C252" s="4" t="s">
        <v>110</v>
      </c>
    </row>
    <row r="253" spans="1:3" x14ac:dyDescent="0.25">
      <c r="A253" s="4">
        <v>40689</v>
      </c>
      <c r="B253" s="4" t="s">
        <v>284</v>
      </c>
      <c r="C253" s="4" t="s">
        <v>110</v>
      </c>
    </row>
    <row r="254" spans="1:3" x14ac:dyDescent="0.25">
      <c r="A254" s="4">
        <v>285830</v>
      </c>
      <c r="B254" s="4" t="s">
        <v>294</v>
      </c>
      <c r="C254" s="4" t="s">
        <v>110</v>
      </c>
    </row>
    <row r="255" spans="1:3" x14ac:dyDescent="0.25">
      <c r="A255" s="4">
        <v>277200</v>
      </c>
      <c r="B255" s="4" t="s">
        <v>295</v>
      </c>
      <c r="C255" s="4" t="s">
        <v>110</v>
      </c>
    </row>
    <row r="256" spans="1:3" x14ac:dyDescent="0.25">
      <c r="A256" s="4">
        <v>286240</v>
      </c>
      <c r="B256" s="4" t="s">
        <v>296</v>
      </c>
      <c r="C256" s="4" t="s">
        <v>110</v>
      </c>
    </row>
    <row r="257" spans="1:3" x14ac:dyDescent="0.25">
      <c r="A257" s="4">
        <v>264888</v>
      </c>
      <c r="B257" s="4" t="s">
        <v>297</v>
      </c>
      <c r="C257" s="4" t="s">
        <v>110</v>
      </c>
    </row>
    <row r="258" spans="1:3" x14ac:dyDescent="0.25">
      <c r="A258" s="4">
        <v>285823</v>
      </c>
      <c r="B258" s="4" t="s">
        <v>298</v>
      </c>
      <c r="C258" s="4" t="s">
        <v>110</v>
      </c>
    </row>
    <row r="259" spans="1:3" x14ac:dyDescent="0.25">
      <c r="A259" s="4">
        <v>55391</v>
      </c>
      <c r="B259" s="4" t="s">
        <v>299</v>
      </c>
      <c r="C259" s="4" t="s">
        <v>110</v>
      </c>
    </row>
    <row r="260" spans="1:3" x14ac:dyDescent="0.25">
      <c r="A260" s="4">
        <v>292730</v>
      </c>
      <c r="B260" s="4" t="s">
        <v>300</v>
      </c>
      <c r="C260" s="4" t="s">
        <v>110</v>
      </c>
    </row>
    <row r="261" spans="1:3" x14ac:dyDescent="0.25">
      <c r="A261" s="4">
        <v>309856</v>
      </c>
      <c r="B261" s="4" t="s">
        <v>301</v>
      </c>
      <c r="C261" s="4" t="s">
        <v>110</v>
      </c>
    </row>
    <row r="262" spans="1:3" x14ac:dyDescent="0.25">
      <c r="A262" s="4">
        <v>279361</v>
      </c>
      <c r="B262" s="4" t="s">
        <v>302</v>
      </c>
      <c r="C262" s="4" t="s">
        <v>110</v>
      </c>
    </row>
    <row r="263" spans="1:3" x14ac:dyDescent="0.25">
      <c r="A263" s="4">
        <v>26507</v>
      </c>
      <c r="B263" s="4" t="s">
        <v>285</v>
      </c>
      <c r="C263" s="4" t="s">
        <v>110</v>
      </c>
    </row>
    <row r="264" spans="1:3" x14ac:dyDescent="0.25">
      <c r="A264" s="4">
        <v>309917</v>
      </c>
      <c r="B264" s="4" t="s">
        <v>303</v>
      </c>
      <c r="C264" s="4" t="s">
        <v>110</v>
      </c>
    </row>
    <row r="265" spans="1:3" x14ac:dyDescent="0.25">
      <c r="A265" s="4">
        <v>288448</v>
      </c>
      <c r="B265" s="4" t="s">
        <v>304</v>
      </c>
      <c r="C265" s="4" t="s">
        <v>110</v>
      </c>
    </row>
    <row r="266" spans="1:3" x14ac:dyDescent="0.25">
      <c r="A266" s="4">
        <v>4270253</v>
      </c>
      <c r="B266" s="4" t="s">
        <v>286</v>
      </c>
      <c r="C266" s="4" t="s">
        <v>110</v>
      </c>
    </row>
    <row r="267" spans="1:3" x14ac:dyDescent="0.25">
      <c r="A267" s="4">
        <v>284167</v>
      </c>
      <c r="B267" s="4" t="s">
        <v>305</v>
      </c>
      <c r="C267" s="4" t="s">
        <v>110</v>
      </c>
    </row>
    <row r="268" spans="1:3" x14ac:dyDescent="0.25">
      <c r="A268" s="4">
        <v>264390</v>
      </c>
      <c r="B268" s="4" t="s">
        <v>287</v>
      </c>
      <c r="C268" s="4" t="s">
        <v>110</v>
      </c>
    </row>
    <row r="269" spans="1:3" x14ac:dyDescent="0.25">
      <c r="A269" s="4">
        <v>309771</v>
      </c>
      <c r="B269" s="4" t="s">
        <v>306</v>
      </c>
      <c r="C269" s="4" t="s">
        <v>110</v>
      </c>
    </row>
    <row r="270" spans="1:3" x14ac:dyDescent="0.25">
      <c r="A270" s="4">
        <v>284020</v>
      </c>
      <c r="B270" s="4" t="s">
        <v>307</v>
      </c>
      <c r="C270" s="4" t="s">
        <v>110</v>
      </c>
    </row>
    <row r="271" spans="1:3" x14ac:dyDescent="0.25">
      <c r="A271" s="4">
        <v>284079</v>
      </c>
      <c r="B271" s="4" t="s">
        <v>283</v>
      </c>
      <c r="C271" s="4" t="s">
        <v>110</v>
      </c>
    </row>
    <row r="272" spans="1:3" x14ac:dyDescent="0.25">
      <c r="A272" s="4">
        <v>4288102</v>
      </c>
      <c r="B272" s="4" t="s">
        <v>308</v>
      </c>
      <c r="C272" s="4" t="s">
        <v>110</v>
      </c>
    </row>
    <row r="273" spans="1:3" x14ac:dyDescent="0.25">
      <c r="A273" s="4">
        <v>285924</v>
      </c>
      <c r="B273" s="4" t="s">
        <v>309</v>
      </c>
      <c r="C273" s="4" t="s">
        <v>110</v>
      </c>
    </row>
    <row r="274" spans="1:3" x14ac:dyDescent="0.25">
      <c r="A274" s="4">
        <v>4288052</v>
      </c>
      <c r="B274" s="4" t="s">
        <v>310</v>
      </c>
      <c r="C274" s="4" t="s">
        <v>110</v>
      </c>
    </row>
    <row r="275" spans="1:3" x14ac:dyDescent="0.25">
      <c r="A275" s="4">
        <v>288426</v>
      </c>
      <c r="B275" s="4" t="s">
        <v>311</v>
      </c>
      <c r="C275" s="4" t="s">
        <v>110</v>
      </c>
    </row>
  </sheetData>
  <autoFilter ref="A1:C1" xr:uid="{00000000-0009-0000-0000-000002000000}"/>
  <conditionalFormatting sqref="A1:A1048576">
    <cfRule type="duplicateValues" dxfId="22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E0E9F-4D0B-4E87-9F6E-FF91B4186294}">
  <dimension ref="A1:A12"/>
  <sheetViews>
    <sheetView tabSelected="1" workbookViewId="0">
      <selection activeCell="A9" sqref="A9"/>
    </sheetView>
  </sheetViews>
  <sheetFormatPr defaultRowHeight="15" x14ac:dyDescent="0.25"/>
  <cols>
    <col min="1" max="1" width="184" bestFit="1" customWidth="1"/>
  </cols>
  <sheetData>
    <row r="1" spans="1:1" ht="17.25" thickBot="1" x14ac:dyDescent="0.3">
      <c r="A1" s="24" t="s">
        <v>340</v>
      </c>
    </row>
    <row r="2" spans="1:1" ht="18" thickTop="1" thickBot="1" x14ac:dyDescent="0.3">
      <c r="A2" s="24" t="s">
        <v>341</v>
      </c>
    </row>
    <row r="3" spans="1:1" ht="18" thickTop="1" thickBot="1" x14ac:dyDescent="0.3">
      <c r="A3" s="24" t="s">
        <v>339</v>
      </c>
    </row>
    <row r="4" spans="1:1" ht="18" thickTop="1" thickBot="1" x14ac:dyDescent="0.3">
      <c r="A4" s="24" t="s">
        <v>342</v>
      </c>
    </row>
    <row r="5" spans="1:1" ht="18" thickTop="1" thickBot="1" x14ac:dyDescent="0.3">
      <c r="A5" s="24" t="s">
        <v>343</v>
      </c>
    </row>
    <row r="6" spans="1:1" ht="18" thickTop="1" thickBot="1" x14ac:dyDescent="0.3">
      <c r="A6" s="24" t="s">
        <v>344</v>
      </c>
    </row>
    <row r="7" spans="1:1" ht="18" thickTop="1" thickBot="1" x14ac:dyDescent="0.3">
      <c r="A7" s="24" t="s">
        <v>345</v>
      </c>
    </row>
    <row r="8" spans="1:1" ht="15.75" thickTop="1" x14ac:dyDescent="0.25">
      <c r="A8" s="23"/>
    </row>
    <row r="9" spans="1:1" x14ac:dyDescent="0.25">
      <c r="A9" s="26" t="s">
        <v>346</v>
      </c>
    </row>
    <row r="10" spans="1:1" x14ac:dyDescent="0.25">
      <c r="A10" s="26" t="s">
        <v>348</v>
      </c>
    </row>
    <row r="11" spans="1:1" x14ac:dyDescent="0.25">
      <c r="A11" s="26" t="s">
        <v>349</v>
      </c>
    </row>
    <row r="12" spans="1:1" ht="15.75" thickBot="1" x14ac:dyDescent="0.3">
      <c r="A12" s="25" t="s">
        <v>347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596E7-6BE7-458E-A97D-037B3F83F5D9}">
  <sheetPr codeName="Sheet3"/>
  <dimension ref="A1:V5"/>
  <sheetViews>
    <sheetView workbookViewId="0">
      <pane xSplit="5" ySplit="4" topLeftCell="K5" activePane="bottomRight" state="frozen"/>
      <selection pane="topRight" activeCell="F1" sqref="F1"/>
      <selection pane="bottomLeft" activeCell="A5" sqref="A5"/>
      <selection pane="bottomRight" activeCell="A5" sqref="A5"/>
    </sheetView>
  </sheetViews>
  <sheetFormatPr defaultColWidth="9.140625" defaultRowHeight="15" outlineLevelCol="1" x14ac:dyDescent="0.25"/>
  <cols>
    <col min="1" max="1" width="18.28515625" bestFit="1" customWidth="1"/>
    <col min="2" max="2" width="17" bestFit="1" customWidth="1"/>
    <col min="3" max="3" width="23.28515625" bestFit="1" customWidth="1"/>
    <col min="4" max="4" width="20.5703125" customWidth="1"/>
    <col min="5" max="5" width="16" customWidth="1"/>
    <col min="6" max="19" width="12.7109375" customWidth="1" outlineLevel="1"/>
    <col min="20" max="20" width="17.7109375" customWidth="1"/>
    <col min="21" max="21" width="15.42578125" bestFit="1" customWidth="1"/>
    <col min="22" max="22" width="14.140625" customWidth="1"/>
    <col min="23" max="23" width="18.7109375" customWidth="1"/>
    <col min="25" max="25" width="9.7109375" bestFit="1" customWidth="1"/>
  </cols>
  <sheetData>
    <row r="1" spans="1:22" ht="30" customHeight="1" thickBot="1" x14ac:dyDescent="0.3"/>
    <row r="2" spans="1:22" ht="44.25" customHeight="1" thickBot="1" x14ac:dyDescent="0.35">
      <c r="A2" s="9" t="s">
        <v>336</v>
      </c>
      <c r="F2" s="27" t="s">
        <v>316</v>
      </c>
      <c r="G2" s="27"/>
      <c r="H2" s="27"/>
      <c r="I2" s="27"/>
      <c r="J2" s="27"/>
      <c r="K2" s="27"/>
      <c r="L2" s="27"/>
      <c r="M2" s="28" t="s">
        <v>317</v>
      </c>
      <c r="N2" s="28"/>
      <c r="O2" s="28"/>
      <c r="P2" s="28"/>
      <c r="Q2" s="28"/>
      <c r="R2" s="28"/>
      <c r="S2" s="28"/>
      <c r="T2" s="12" t="s">
        <v>334</v>
      </c>
    </row>
    <row r="3" spans="1:22" ht="15.75" thickBot="1" x14ac:dyDescent="0.3">
      <c r="A3" s="10" t="s">
        <v>337</v>
      </c>
      <c r="F3" s="11">
        <v>43282</v>
      </c>
      <c r="G3" s="8">
        <f>F3+1</f>
        <v>43283</v>
      </c>
      <c r="H3" s="8">
        <f t="shared" ref="H3:S3" si="0">G3+1</f>
        <v>43284</v>
      </c>
      <c r="I3" s="8">
        <f t="shared" si="0"/>
        <v>43285</v>
      </c>
      <c r="J3" s="8">
        <f t="shared" si="0"/>
        <v>43286</v>
      </c>
      <c r="K3" s="8">
        <f t="shared" si="0"/>
        <v>43287</v>
      </c>
      <c r="L3" s="8">
        <f t="shared" si="0"/>
        <v>43288</v>
      </c>
      <c r="M3" s="8">
        <f t="shared" si="0"/>
        <v>43289</v>
      </c>
      <c r="N3" s="8">
        <f t="shared" si="0"/>
        <v>43290</v>
      </c>
      <c r="O3" s="8">
        <f t="shared" si="0"/>
        <v>43291</v>
      </c>
      <c r="P3" s="8">
        <f t="shared" si="0"/>
        <v>43292</v>
      </c>
      <c r="Q3" s="8">
        <f t="shared" si="0"/>
        <v>43293</v>
      </c>
      <c r="R3" s="8">
        <f t="shared" si="0"/>
        <v>43294</v>
      </c>
      <c r="S3" s="8">
        <f t="shared" si="0"/>
        <v>43295</v>
      </c>
      <c r="T3" s="13">
        <v>8</v>
      </c>
    </row>
    <row r="4" spans="1:22" ht="23.25" x14ac:dyDescent="0.25">
      <c r="A4" s="14" t="s">
        <v>313</v>
      </c>
      <c r="B4" s="15" t="s">
        <v>314</v>
      </c>
      <c r="C4" s="15" t="s">
        <v>315</v>
      </c>
      <c r="D4" s="15" t="s">
        <v>332</v>
      </c>
      <c r="E4" s="15" t="s">
        <v>338</v>
      </c>
      <c r="F4" s="16" t="s">
        <v>318</v>
      </c>
      <c r="G4" s="16" t="s">
        <v>319</v>
      </c>
      <c r="H4" s="16" t="s">
        <v>320</v>
      </c>
      <c r="I4" s="16" t="s">
        <v>321</v>
      </c>
      <c r="J4" s="16" t="s">
        <v>322</v>
      </c>
      <c r="K4" s="16" t="s">
        <v>323</v>
      </c>
      <c r="L4" s="16" t="s">
        <v>324</v>
      </c>
      <c r="M4" s="16" t="s">
        <v>325</v>
      </c>
      <c r="N4" s="16" t="s">
        <v>326</v>
      </c>
      <c r="O4" s="16" t="s">
        <v>327</v>
      </c>
      <c r="P4" s="16" t="s">
        <v>328</v>
      </c>
      <c r="Q4" s="16" t="s">
        <v>329</v>
      </c>
      <c r="R4" s="16" t="s">
        <v>330</v>
      </c>
      <c r="S4" s="16" t="s">
        <v>331</v>
      </c>
      <c r="T4" s="15" t="s">
        <v>333</v>
      </c>
      <c r="U4" s="15" t="s">
        <v>312</v>
      </c>
      <c r="V4" s="17" t="s">
        <v>335</v>
      </c>
    </row>
    <row r="5" spans="1:22" x14ac:dyDescent="0.25">
      <c r="A5" s="18"/>
      <c r="B5" s="3"/>
      <c r="C5" s="2"/>
      <c r="D5" s="20"/>
      <c r="E5" s="20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21"/>
      <c r="U5" s="19"/>
      <c r="V5" s="22"/>
    </row>
  </sheetData>
  <mergeCells count="2">
    <mergeCell ref="F2:L2"/>
    <mergeCell ref="M2:S2"/>
  </mergeCells>
  <conditionalFormatting sqref="F5:S5">
    <cfRule type="cellIs" dxfId="21" priority="43" operator="equal">
      <formula>"LOAMED"</formula>
    </cfRule>
    <cfRule type="cellIs" dxfId="20" priority="44" operator="equal">
      <formula>"OFF"</formula>
    </cfRule>
  </conditionalFormatting>
  <conditionalFormatting sqref="C148:E1048576 A4:A5">
    <cfRule type="duplicateValues" dxfId="19" priority="41"/>
  </conditionalFormatting>
  <conditionalFormatting sqref="C148:E1048576">
    <cfRule type="duplicateValues" dxfId="18" priority="40"/>
  </conditionalFormatting>
  <conditionalFormatting sqref="A4:B4">
    <cfRule type="duplicateValues" dxfId="17" priority="51"/>
  </conditionalFormatting>
  <conditionalFormatting sqref="C148:E1048576 A4:A5">
    <cfRule type="duplicateValues" dxfId="16" priority="17"/>
    <cfRule type="duplicateValues" dxfId="15" priority="18"/>
  </conditionalFormatting>
  <conditionalFormatting sqref="F5:S5">
    <cfRule type="cellIs" dxfId="14" priority="7" operator="equal">
      <formula>0</formula>
    </cfRule>
  </conditionalFormatting>
  <conditionalFormatting sqref="C3:E3 A2">
    <cfRule type="duplicateValues" dxfId="13" priority="6"/>
  </conditionalFormatting>
  <conditionalFormatting sqref="G6:G1048576 A3 C4:E4">
    <cfRule type="duplicateValues" dxfId="12" priority="2794"/>
    <cfRule type="duplicateValues" dxfId="11" priority="2795"/>
    <cfRule type="duplicateValues" dxfId="10" priority="2796"/>
  </conditionalFormatting>
  <conditionalFormatting sqref="F6:F1048576 B4:B5">
    <cfRule type="duplicateValues" dxfId="9" priority="2829"/>
  </conditionalFormatting>
  <conditionalFormatting sqref="U5">
    <cfRule type="containsText" dxfId="8" priority="4" operator="containsText" text="DETERMINE">
      <formula>NOT(ISERROR(SEARCH("DETERMINE",U5)))</formula>
    </cfRule>
  </conditionalFormatting>
  <conditionalFormatting sqref="T5">
    <cfRule type="expression" dxfId="7" priority="2848">
      <formula>$T5&gt;$T$3</formula>
    </cfRule>
  </conditionalFormatting>
  <conditionalFormatting sqref="E5">
    <cfRule type="containsText" dxfId="6" priority="1" operator="containsText" text="MISSING">
      <formula>NOT(ISERROR(SEARCH("MISSING",E5)))</formula>
    </cfRule>
  </conditionalFormatting>
  <conditionalFormatting sqref="A5">
    <cfRule type="duplicateValues" dxfId="2" priority="2874"/>
    <cfRule type="duplicateValues" dxfId="1" priority="2875"/>
  </conditionalFormatting>
  <conditionalFormatting sqref="B5">
    <cfRule type="duplicateValues" dxfId="0" priority="2876"/>
  </conditionalFormatting>
  <dataValidations count="2">
    <dataValidation allowBlank="1" showInputMessage="1" showErrorMessage="1" prompt="Manual Input Date" sqref="F3" xr:uid="{C81FFAD0-3933-4F45-8A82-0B36B9444BD2}"/>
    <dataValidation allowBlank="1" showInputMessage="1" showErrorMessage="1" prompt="Manual Input Number" sqref="T3" xr:uid="{A635AFD5-8FF7-40F7-81DE-8D890A384401}"/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62" id="{3746E723-C722-4672-B5E1-A5323BD6C2ED}">
            <xm:f>IF(VLOOKUP(B5,Attrition!$A:$C,3,FALSE)&lt;&gt;"-",1,0)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62097-A6EA-4F78-ACB1-F4974C7D2F85}">
  <sheetPr codeName="Sheet4"/>
  <dimension ref="A1:D1"/>
  <sheetViews>
    <sheetView workbookViewId="0">
      <selection activeCell="A2" sqref="A2"/>
    </sheetView>
  </sheetViews>
  <sheetFormatPr defaultRowHeight="15" x14ac:dyDescent="0.25"/>
  <cols>
    <col min="1" max="1" width="14.42578125" bestFit="1" customWidth="1"/>
    <col min="2" max="2" width="20.28515625" bestFit="1" customWidth="1"/>
    <col min="3" max="3" width="18" bestFit="1" customWidth="1"/>
    <col min="4" max="4" width="19" bestFit="1" customWidth="1"/>
  </cols>
  <sheetData>
    <row r="1" spans="1:4" x14ac:dyDescent="0.25">
      <c r="A1" t="s">
        <v>313</v>
      </c>
      <c r="B1" t="s">
        <v>314</v>
      </c>
      <c r="C1" t="s">
        <v>315</v>
      </c>
      <c r="D1" t="s">
        <v>332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429B6-403E-4DF7-A640-8999B323286F}">
  <sheetPr codeName="Sheet5"/>
  <dimension ref="A1:K1"/>
  <sheetViews>
    <sheetView workbookViewId="0">
      <selection activeCell="A2" sqref="A2"/>
    </sheetView>
  </sheetViews>
  <sheetFormatPr defaultRowHeight="15" x14ac:dyDescent="0.25"/>
  <cols>
    <col min="1" max="1" width="14.28515625" customWidth="1"/>
    <col min="2" max="2" width="19.85546875" customWidth="1"/>
    <col min="3" max="3" width="17.7109375" customWidth="1"/>
    <col min="4" max="4" width="19" bestFit="1" customWidth="1"/>
    <col min="5" max="11" width="10.85546875" bestFit="1" customWidth="1"/>
  </cols>
  <sheetData>
    <row r="1" spans="1:11" x14ac:dyDescent="0.25">
      <c r="A1" t="s">
        <v>313</v>
      </c>
      <c r="B1" t="s">
        <v>314</v>
      </c>
      <c r="C1" t="s">
        <v>315</v>
      </c>
      <c r="D1" t="s">
        <v>332</v>
      </c>
      <c r="E1" t="s">
        <v>178</v>
      </c>
      <c r="F1" t="s">
        <v>177</v>
      </c>
      <c r="G1" t="s">
        <v>176</v>
      </c>
      <c r="H1" t="s">
        <v>175</v>
      </c>
      <c r="I1" t="s">
        <v>174</v>
      </c>
      <c r="J1" t="s">
        <v>173</v>
      </c>
      <c r="K1" t="s">
        <v>172</v>
      </c>
    </row>
  </sheetData>
  <conditionalFormatting sqref="E2:K2">
    <cfRule type="containsText" dxfId="4" priority="1" operator="containsText" text=":">
      <formula>NOT(ISERROR(SEARCH(":",E2)))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D5247-BBF1-4AD4-B4B6-9B1261CDC6FF}">
  <sheetPr codeName="Sheet6"/>
  <dimension ref="A1:K1"/>
  <sheetViews>
    <sheetView workbookViewId="0">
      <selection activeCell="A2" sqref="A2"/>
    </sheetView>
  </sheetViews>
  <sheetFormatPr defaultRowHeight="15" x14ac:dyDescent="0.25"/>
  <cols>
    <col min="1" max="1" width="14.42578125" bestFit="1" customWidth="1"/>
    <col min="2" max="2" width="20.28515625" bestFit="1" customWidth="1"/>
    <col min="3" max="3" width="18" bestFit="1" customWidth="1"/>
    <col min="4" max="4" width="19" bestFit="1" customWidth="1"/>
    <col min="5" max="11" width="10.85546875" bestFit="1" customWidth="1"/>
  </cols>
  <sheetData>
    <row r="1" spans="1:11" x14ac:dyDescent="0.25">
      <c r="A1" t="s">
        <v>313</v>
      </c>
      <c r="B1" t="s">
        <v>314</v>
      </c>
      <c r="C1" t="s">
        <v>315</v>
      </c>
      <c r="D1" t="s">
        <v>332</v>
      </c>
      <c r="E1" t="s">
        <v>178</v>
      </c>
      <c r="F1" t="s">
        <v>177</v>
      </c>
      <c r="G1" t="s">
        <v>176</v>
      </c>
      <c r="H1" t="s">
        <v>175</v>
      </c>
      <c r="I1" t="s">
        <v>174</v>
      </c>
      <c r="J1" t="s">
        <v>173</v>
      </c>
      <c r="K1" t="s">
        <v>172</v>
      </c>
    </row>
  </sheetData>
  <conditionalFormatting sqref="E2:K2">
    <cfRule type="containsText" dxfId="3" priority="1" operator="containsText" text=":">
      <formula>NOT(ISERROR(SEARCH(":",E2)))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Tech ES</vt:lpstr>
      <vt:lpstr>Attrition</vt:lpstr>
      <vt:lpstr>Instructions</vt:lpstr>
      <vt:lpstr>SPECIAL OFF REVISION</vt:lpstr>
      <vt:lpstr>Roster</vt:lpstr>
      <vt:lpstr>Schedules Previous Change</vt:lpstr>
      <vt:lpstr>Schedules After Change</vt:lpstr>
    </vt:vector>
  </TitlesOfParts>
  <Company>Expert Global Solutions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Bacigalupe, Gonzalo</dc:creator>
  <cp:lastModifiedBy>Camilo Ferreira</cp:lastModifiedBy>
  <dcterms:created xsi:type="dcterms:W3CDTF">2018-01-08T21:29:45Z</dcterms:created>
  <dcterms:modified xsi:type="dcterms:W3CDTF">2021-04-29T05:53:17Z</dcterms:modified>
</cp:coreProperties>
</file>